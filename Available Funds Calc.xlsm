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velopment\Git\fin_Available-FundsXL\"/>
    </mc:Choice>
  </mc:AlternateContent>
  <xr:revisionPtr revIDLastSave="0" documentId="13_ncr:1_{A41E7A24-DD49-4B52-ADE6-C0184314CDC0}" xr6:coauthVersionLast="46" xr6:coauthVersionMax="46" xr10:uidLastSave="{00000000-0000-0000-0000-000000000000}"/>
  <bookViews>
    <workbookView xWindow="-120" yWindow="-120" windowWidth="29040" windowHeight="15840" xr2:uid="{FCC7A1C5-C577-4BA9-829F-FD223084050A}"/>
  </bookViews>
  <sheets>
    <sheet name="Current" sheetId="8" r:id="rId1"/>
    <sheet name="Projections" sheetId="9" r:id="rId2"/>
    <sheet name="Income" sheetId="11" r:id="rId3"/>
    <sheet name="Expenditure" sheetId="10" r:id="rId4"/>
    <sheet name="Adjustments" sheetId="12" r:id="rId5"/>
    <sheet name="Summary" sheetId="13" r:id="rId6"/>
    <sheet name="Projection Log" sheetId="14" r:id="rId7"/>
    <sheet name="TODO" sheetId="15" r:id="rId8"/>
  </sheets>
  <functionGroups builtInGroupCount="19"/>
  <definedNames>
    <definedName name="BalReq">Summary!$C$12</definedName>
    <definedName name="CalcDate">Current!$D$2</definedName>
    <definedName name="CurBal">Current!$G$4</definedName>
    <definedName name="currBal">'Projection Log'!$D$7</definedName>
    <definedName name="currProj">'Projection Log'!$D$8</definedName>
    <definedName name="initBal">'Projection Log'!$D$3</definedName>
    <definedName name="initLogDate">'Projection Log'!$C$13</definedName>
    <definedName name="initProj">'Projection Log'!$D$4</definedName>
    <definedName name="initRate">'Projection Log'!$F$4</definedName>
    <definedName name="ProjBal">Projections!$H$4</definedName>
    <definedName name="ProjDate">Projections!$D$2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8" l="1"/>
  <c r="J15" i="10"/>
  <c r="H15" i="10"/>
  <c r="I15" i="10" s="1"/>
  <c r="K15" i="10"/>
  <c r="I1" i="10" l="1"/>
  <c r="H4" i="10"/>
  <c r="K26" i="11"/>
  <c r="H14" i="14" l="1"/>
  <c r="G14" i="14"/>
  <c r="I4" i="10"/>
  <c r="E14" i="14" l="1"/>
  <c r="F14" i="14"/>
  <c r="H13" i="14" l="1"/>
  <c r="J33" i="10" l="1"/>
  <c r="J16" i="12" l="1"/>
  <c r="J5" i="12"/>
  <c r="I16" i="12" l="1"/>
  <c r="H16" i="12" l="1"/>
  <c r="H18" i="11"/>
  <c r="H19" i="12"/>
  <c r="K33" i="10"/>
  <c r="H33" i="10"/>
  <c r="J8" i="12"/>
  <c r="I5" i="12" l="1"/>
  <c r="I33" i="10"/>
  <c r="I8" i="12" l="1"/>
  <c r="I9" i="12"/>
  <c r="H5" i="12"/>
  <c r="D32" i="10" l="1"/>
  <c r="J32" i="10" s="1"/>
  <c r="F13" i="14" l="1"/>
  <c r="C8" i="14"/>
  <c r="F4" i="14"/>
  <c r="I13" i="14" l="1"/>
  <c r="I14" i="14"/>
  <c r="I19" i="12"/>
  <c r="I20" i="12" s="1"/>
  <c r="J19" i="12"/>
  <c r="J20" i="12" s="1"/>
  <c r="H18" i="9" s="1"/>
  <c r="J17" i="11"/>
  <c r="J18" i="11"/>
  <c r="J23" i="10"/>
  <c r="C19" i="11"/>
  <c r="K28" i="10"/>
  <c r="D13" i="9" s="1"/>
  <c r="J26" i="11"/>
  <c r="J27" i="11" s="1"/>
  <c r="J31" i="10"/>
  <c r="J13" i="11"/>
  <c r="J14" i="11" s="1"/>
  <c r="J9" i="11"/>
  <c r="J10" i="11" s="1"/>
  <c r="J5" i="11"/>
  <c r="J6" i="11" s="1"/>
  <c r="I23" i="11"/>
  <c r="K23" i="11"/>
  <c r="H13" i="9" s="1"/>
  <c r="J23" i="11"/>
  <c r="C27" i="11"/>
  <c r="C23" i="11"/>
  <c r="C14" i="11"/>
  <c r="C10" i="11"/>
  <c r="C6" i="11"/>
  <c r="G20" i="12"/>
  <c r="G10" i="12"/>
  <c r="D20" i="12"/>
  <c r="G17" i="12"/>
  <c r="G6" i="12"/>
  <c r="D17" i="12"/>
  <c r="D10" i="12"/>
  <c r="D6" i="12"/>
  <c r="I17" i="12" l="1"/>
  <c r="J19" i="11"/>
  <c r="I6" i="12"/>
  <c r="I10" i="12"/>
  <c r="D9" i="13" l="1"/>
  <c r="C34" i="10"/>
  <c r="J19" i="10"/>
  <c r="J34" i="10" l="1"/>
  <c r="J10" i="10"/>
  <c r="D10" i="8" l="1"/>
  <c r="H6" i="9" l="1"/>
  <c r="J6" i="12"/>
  <c r="K1" i="10"/>
  <c r="C24" i="10"/>
  <c r="J24" i="10"/>
  <c r="C20" i="10"/>
  <c r="J11" i="10"/>
  <c r="J12" i="10"/>
  <c r="J13" i="10"/>
  <c r="J14" i="10"/>
  <c r="C16" i="10"/>
  <c r="C7" i="10"/>
  <c r="J4" i="10"/>
  <c r="J5" i="10"/>
  <c r="J6" i="10"/>
  <c r="D6" i="10"/>
  <c r="H10" i="10"/>
  <c r="H11" i="10"/>
  <c r="H23" i="10"/>
  <c r="H13" i="11"/>
  <c r="K17" i="11"/>
  <c r="K10" i="10"/>
  <c r="K19" i="10"/>
  <c r="K12" i="10"/>
  <c r="H12" i="10"/>
  <c r="K5" i="10"/>
  <c r="K6" i="10"/>
  <c r="H17" i="11"/>
  <c r="K11" i="10"/>
  <c r="H9" i="12"/>
  <c r="H9" i="11"/>
  <c r="K23" i="10"/>
  <c r="K5" i="11"/>
  <c r="H19" i="10"/>
  <c r="K13" i="10"/>
  <c r="K4" i="10"/>
  <c r="K13" i="11"/>
  <c r="H6" i="10"/>
  <c r="K9" i="11"/>
  <c r="H5" i="10"/>
  <c r="K32" i="10"/>
  <c r="K31" i="10"/>
  <c r="H13" i="10"/>
  <c r="H32" i="10"/>
  <c r="H5" i="11"/>
  <c r="K18" i="11"/>
  <c r="K14" i="10"/>
  <c r="H26" i="11"/>
  <c r="H14" i="10"/>
  <c r="H31" i="10"/>
  <c r="H8" i="12"/>
  <c r="C7" i="14" l="1"/>
  <c r="H17" i="12"/>
  <c r="G9" i="13" s="1"/>
  <c r="K27" i="11"/>
  <c r="H14" i="9" s="1"/>
  <c r="K19" i="11"/>
  <c r="H12" i="9" s="1"/>
  <c r="K14" i="11"/>
  <c r="H11" i="9" s="1"/>
  <c r="K10" i="11"/>
  <c r="H10" i="9" s="1"/>
  <c r="K6" i="11"/>
  <c r="H9" i="9" s="1"/>
  <c r="H20" i="12"/>
  <c r="G10" i="13" s="1"/>
  <c r="H6" i="12"/>
  <c r="G6" i="13" s="1"/>
  <c r="D17" i="9" s="1"/>
  <c r="K34" i="10"/>
  <c r="D14" i="9" s="1"/>
  <c r="K16" i="10"/>
  <c r="D10" i="9" s="1"/>
  <c r="K24" i="10"/>
  <c r="D12" i="9" s="1"/>
  <c r="J7" i="10"/>
  <c r="J16" i="10"/>
  <c r="J20" i="10"/>
  <c r="K7" i="10"/>
  <c r="D9" i="9" s="1"/>
  <c r="K20" i="10"/>
  <c r="D11" i="9" s="1"/>
  <c r="I13" i="10"/>
  <c r="I32" i="10"/>
  <c r="I19" i="10"/>
  <c r="I23" i="10"/>
  <c r="I26" i="11"/>
  <c r="I13" i="11"/>
  <c r="I5" i="10"/>
  <c r="I11" i="10"/>
  <c r="I10" i="10"/>
  <c r="I6" i="10"/>
  <c r="J9" i="12"/>
  <c r="I14" i="10"/>
  <c r="I12" i="10"/>
  <c r="I31" i="10"/>
  <c r="I18" i="11"/>
  <c r="I17" i="11"/>
  <c r="I5" i="11"/>
  <c r="I9" i="11"/>
  <c r="H8" i="9" l="1"/>
  <c r="I14" i="11"/>
  <c r="I10" i="11"/>
  <c r="I27" i="11"/>
  <c r="I6" i="11"/>
  <c r="I19" i="11"/>
  <c r="H10" i="12"/>
  <c r="G7" i="13" s="1"/>
  <c r="D18" i="9" s="1"/>
  <c r="D16" i="9" s="1"/>
  <c r="J17" i="12"/>
  <c r="H17" i="9" s="1"/>
  <c r="H16" i="9" s="1"/>
  <c r="D8" i="9"/>
  <c r="J10" i="12"/>
  <c r="I34" i="10"/>
  <c r="D10" i="13" s="1"/>
  <c r="I24" i="10"/>
  <c r="D8" i="13" s="1"/>
  <c r="I20" i="10"/>
  <c r="D7" i="13" s="1"/>
  <c r="I16" i="10"/>
  <c r="D6" i="13" s="1"/>
  <c r="I7" i="10"/>
  <c r="D5" i="13" s="1"/>
  <c r="G11" i="13" l="1"/>
  <c r="H3" i="9"/>
  <c r="D11" i="13"/>
  <c r="C12" i="13" l="1"/>
  <c r="G3" i="8" s="1"/>
  <c r="G10" i="8"/>
  <c r="G2" i="8" s="1"/>
  <c r="G4" i="8" l="1"/>
  <c r="D7" i="14" s="1"/>
  <c r="D6" i="9"/>
  <c r="H2" i="9" l="1"/>
  <c r="H4" i="9" l="1"/>
  <c r="D8" i="14" s="1"/>
</calcChain>
</file>

<file path=xl/sharedStrings.xml><?xml version="1.0" encoding="utf-8"?>
<sst xmlns="http://schemas.openxmlformats.org/spreadsheetml/2006/main" count="318" uniqueCount="123">
  <si>
    <t>Item</t>
  </si>
  <si>
    <t>Amount</t>
  </si>
  <si>
    <t>End Date</t>
  </si>
  <si>
    <t>Start Date</t>
  </si>
  <si>
    <t>Bank Days Only</t>
  </si>
  <si>
    <t>ANNUAL</t>
  </si>
  <si>
    <t>MONTHLY</t>
  </si>
  <si>
    <t>DATE FOR CALC:</t>
  </si>
  <si>
    <t>ACTUAL BALANCE:</t>
  </si>
  <si>
    <t>BALANCE REQUIRED:</t>
  </si>
  <si>
    <t>AVAILABLE FUNDS:</t>
  </si>
  <si>
    <t>SUMMARY</t>
  </si>
  <si>
    <t>SAVINGS:</t>
  </si>
  <si>
    <t>Currently Available</t>
  </si>
  <si>
    <t>Bank</t>
  </si>
  <si>
    <t>CREDIT:</t>
  </si>
  <si>
    <t>As currently owed</t>
  </si>
  <si>
    <t>Card / Institution</t>
  </si>
  <si>
    <t>STATEMENTS</t>
  </si>
  <si>
    <t>DATE FOR PROJECTION:</t>
  </si>
  <si>
    <t>EXPENDITURE</t>
  </si>
  <si>
    <t>Exclude</t>
  </si>
  <si>
    <t>REQUIRED</t>
  </si>
  <si>
    <t>NEXT DUE</t>
  </si>
  <si>
    <t>PROJECTED</t>
  </si>
  <si>
    <t>RATE/DAY</t>
  </si>
  <si>
    <t>FORTNIGHTLY</t>
  </si>
  <si>
    <t>WEEKLY</t>
  </si>
  <si>
    <t>Day of Month</t>
  </si>
  <si>
    <t>Day of Week</t>
  </si>
  <si>
    <t>TERM TIME</t>
  </si>
  <si>
    <t>Period (Term/Days)</t>
  </si>
  <si>
    <t>REGULAR</t>
  </si>
  <si>
    <t>Period (Days)</t>
  </si>
  <si>
    <t>PAY DATE</t>
  </si>
  <si>
    <t>Date for Current:</t>
  </si>
  <si>
    <t>Projected:</t>
  </si>
  <si>
    <t>Car Insurance</t>
  </si>
  <si>
    <t>Holiday</t>
  </si>
  <si>
    <t>Total</t>
  </si>
  <si>
    <t>Mortgage</t>
  </si>
  <si>
    <t>Phone &amp; Broadband</t>
  </si>
  <si>
    <t>Mobile</t>
  </si>
  <si>
    <t>Council Tax</t>
  </si>
  <si>
    <t>Petrol</t>
  </si>
  <si>
    <t>TBC</t>
  </si>
  <si>
    <t>Annual</t>
  </si>
  <si>
    <t>Monthly</t>
  </si>
  <si>
    <t>Bi-Weekly</t>
  </si>
  <si>
    <t>Weekly</t>
  </si>
  <si>
    <t>Term Time</t>
  </si>
  <si>
    <t>Regular</t>
  </si>
  <si>
    <t>TOTAL</t>
  </si>
  <si>
    <t>ADJUSTMENTS</t>
  </si>
  <si>
    <t>OUTGOING</t>
  </si>
  <si>
    <t>Owed By Me:</t>
  </si>
  <si>
    <t>One Offs:</t>
  </si>
  <si>
    <t>INCOMING</t>
  </si>
  <si>
    <t>Owed To Me:</t>
  </si>
  <si>
    <t>OWED BY ME:</t>
  </si>
  <si>
    <t>Creditor</t>
  </si>
  <si>
    <t>Date For Payment</t>
  </si>
  <si>
    <t>INCOME</t>
  </si>
  <si>
    <t>OWED TO ME:</t>
  </si>
  <si>
    <t>COMPLETE</t>
  </si>
  <si>
    <t>IRREGULAR:</t>
  </si>
  <si>
    <t>Wages (after ded)</t>
  </si>
  <si>
    <t>SAVINGS</t>
  </si>
  <si>
    <t>Regular:</t>
  </si>
  <si>
    <t>Term Time:</t>
  </si>
  <si>
    <t>Weekly:</t>
  </si>
  <si>
    <t>Bi-Weekly:</t>
  </si>
  <si>
    <t>Monthly:</t>
  </si>
  <si>
    <t>Annual:</t>
  </si>
  <si>
    <t>CREDIT</t>
  </si>
  <si>
    <t>INITIAL PROJECTION</t>
  </si>
  <si>
    <t>Date for Projection</t>
  </si>
  <si>
    <t>PROJECTION LOG</t>
  </si>
  <si>
    <t>Rate/Day</t>
  </si>
  <si>
    <t>CURRENT PROJECTION:</t>
  </si>
  <si>
    <t>DATE</t>
  </si>
  <si>
    <t>PERIOD</t>
  </si>
  <si>
    <t>CURRENT BALANCE:</t>
  </si>
  <si>
    <t>Enter manual dates for term time</t>
  </si>
  <si>
    <t>Fix projections for adjustments</t>
  </si>
  <si>
    <t>Calculate theoretical disposable income/week</t>
  </si>
  <si>
    <t>GAIN/LOSS</t>
  </si>
  <si>
    <t>CURRENT</t>
  </si>
  <si>
    <t>ADJUSTED</t>
  </si>
  <si>
    <t>NON-BUDGET</t>
  </si>
  <si>
    <t>SPENDS</t>
  </si>
  <si>
    <t>N/A</t>
  </si>
  <si>
    <t>LOG</t>
  </si>
  <si>
    <t>BALANCE</t>
  </si>
  <si>
    <t>AVAILABLE</t>
  </si>
  <si>
    <t>FINAL PROJECTION</t>
  </si>
  <si>
    <t>CUMUL</t>
  </si>
  <si>
    <t>Need to adjust shortfall wages in project for current week (ie only adds x/day but will receive 7*x within 7 day period)</t>
  </si>
  <si>
    <t>Tax Credits</t>
  </si>
  <si>
    <t>Child Benefit</t>
  </si>
  <si>
    <t>Home Insurance</t>
  </si>
  <si>
    <t>Utilities</t>
  </si>
  <si>
    <t>Gym Membership</t>
  </si>
  <si>
    <t>Cinema Night</t>
  </si>
  <si>
    <t>Groceries</t>
  </si>
  <si>
    <t>Dentist</t>
  </si>
  <si>
    <t>Train Ticket</t>
  </si>
  <si>
    <t>Xmas - Family</t>
  </si>
  <si>
    <t>Wife Birthday</t>
  </si>
  <si>
    <t>Utility Provider</t>
  </si>
  <si>
    <t>Overpaid Balance</t>
  </si>
  <si>
    <t>Mate</t>
  </si>
  <si>
    <t>Stag Weekend</t>
  </si>
  <si>
    <t>TASK</t>
  </si>
  <si>
    <t>PRIORITY</t>
  </si>
  <si>
    <t>NOTES</t>
  </si>
  <si>
    <t>No</t>
  </si>
  <si>
    <t>Design new system to allow manual entry of term time dates</t>
  </si>
  <si>
    <t>Separate irregular payments from one-offs.</t>
  </si>
  <si>
    <t>Design new page or add to existing? Include rough allowances for non-regular items?</t>
  </si>
  <si>
    <t>Allow adjustment of wages in projection</t>
  </si>
  <si>
    <t>Main Bank</t>
  </si>
  <si>
    <t>Credit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</si>
</sst>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8" formatCode="&quot;£&quot;#,##0.00;[Red]\-&quot;£&quot;#,##0.00"/>
    <numFmt numFmtId="44" formatCode="_-&quot;£&quot;* #,##0.00_-;\-&quot;£&quot;* #,##0.00_-;_-&quot;£&quot;* &quot;-&quot;??_-;_-@_-"/>
    <numFmt numFmtId="164" formatCode="[$-F800]dddd\,\ mmmm\ dd\,\ yyyy"/>
    <numFmt numFmtId="165" formatCode="dddd"/>
    <numFmt numFmtId="166" formatCode="ddd\ dd/mm/yyyy"/>
    <numFmt numFmtId="167" formatCode="&quot;BALANCE REQUIRED &quot;&quot;£&quot;#,##0.00;[Red]&quot;BALANCE REQUIRED &quot;\-&quot;£&quot;#,##0.00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6"/>
      <color theme="7" tint="0.39997558519241921"/>
      <name val="Calibri"/>
      <family val="2"/>
      <scheme val="minor"/>
    </font>
    <font>
      <sz val="16"/>
      <color theme="7"/>
      <name val="Calibri"/>
      <family val="2"/>
      <scheme val="minor"/>
    </font>
    <font>
      <i/>
      <sz val="16"/>
      <color theme="7"/>
      <name val="Calibri"/>
      <family val="2"/>
      <scheme val="minor"/>
    </font>
    <font>
      <b/>
      <sz val="16"/>
      <color theme="7"/>
      <name val="Calibri"/>
      <family val="2"/>
      <scheme val="minor"/>
    </font>
    <font>
      <b/>
      <u/>
      <sz val="16"/>
      <color theme="7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206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/>
      <sz val="20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sz val="16"/>
      <color theme="7" tint="0.59999389629810485"/>
      <name val="Calibri"/>
      <family val="2"/>
      <scheme val="minor"/>
    </font>
    <font>
      <b/>
      <sz val="16"/>
      <color theme="7" tint="0.59999389629810485"/>
      <name val="Calibri"/>
      <family val="2"/>
      <scheme val="minor"/>
    </font>
    <font>
      <i/>
      <sz val="16"/>
      <color theme="7" tint="0.59999389629810485"/>
      <name val="Calibri"/>
      <family val="2"/>
      <scheme val="minor"/>
    </font>
    <font>
      <b/>
      <u/>
      <sz val="20"/>
      <color theme="7"/>
      <name val="Calibri"/>
      <family val="2"/>
      <scheme val="minor"/>
    </font>
    <font>
      <sz val="20"/>
      <color theme="7" tint="0.3999755851924192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0033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800000"/>
        <bgColor indexed="64"/>
      </patternFill>
    </fill>
    <fill>
      <gradientFill>
        <stop position="0">
          <color rgb="FFCC0000"/>
        </stop>
        <stop position="1">
          <color rgb="FF800000"/>
        </stop>
      </gradientFill>
    </fill>
    <fill>
      <gradientFill>
        <stop position="0">
          <color theme="8" tint="-0.49803155613879818"/>
        </stop>
        <stop position="1">
          <color rgb="FFCC0000"/>
        </stop>
      </gradientFill>
    </fill>
    <fill>
      <gradientFill>
        <stop position="0">
          <color rgb="FF002060"/>
        </stop>
        <stop position="1">
          <color theme="8" tint="-0.49803155613879818"/>
        </stop>
      </gradientFill>
    </fill>
    <fill>
      <gradientFill>
        <stop position="0">
          <color rgb="FF002060"/>
        </stop>
        <stop position="0.5">
          <color rgb="FF800000"/>
        </stop>
        <stop position="1">
          <color rgb="FF002060"/>
        </stop>
      </gradientFill>
    </fill>
    <fill>
      <patternFill patternType="solid">
        <fgColor rgb="FF7030A0"/>
        <bgColor auto="1"/>
      </patternFill>
    </fill>
    <fill>
      <gradientFill>
        <stop position="0">
          <color rgb="FF002060"/>
        </stop>
        <stop position="0.5">
          <color rgb="FF7030A0"/>
        </stop>
        <stop position="1">
          <color rgb="FF002060"/>
        </stop>
      </gradientFill>
    </fill>
    <fill>
      <patternFill patternType="solid">
        <fgColor rgb="FF6600CC"/>
        <bgColor indexed="64"/>
      </patternFill>
    </fill>
    <fill>
      <gradientFill>
        <stop position="0">
          <color rgb="FF6600CC"/>
        </stop>
        <stop position="1">
          <color rgb="FF7030A0"/>
        </stop>
      </gradientFill>
    </fill>
    <fill>
      <patternFill patternType="solid">
        <fgColor rgb="FF660066"/>
        <bgColor indexed="64"/>
      </patternFill>
    </fill>
    <fill>
      <gradientFill degree="90">
        <stop position="0">
          <color rgb="FF672C94"/>
        </stop>
        <stop position="1">
          <color rgb="FF660066"/>
        </stop>
      </gradientFill>
    </fill>
    <fill>
      <gradientFill degree="90">
        <stop position="0">
          <color rgb="FF8F45C7"/>
        </stop>
        <stop position="1">
          <color rgb="FF672C94"/>
        </stop>
      </gradientFill>
    </fill>
    <fill>
      <patternFill patternType="solid">
        <fgColor rgb="FFFF5050"/>
        <bgColor indexed="64"/>
      </patternFill>
    </fill>
    <fill>
      <patternFill patternType="solid">
        <fgColor rgb="FFA50021"/>
        <bgColor indexed="64"/>
      </patternFill>
    </fill>
    <fill>
      <patternFill patternType="gray0625">
        <fgColor theme="1"/>
        <bgColor rgb="FFA50021"/>
      </patternFill>
    </fill>
    <fill>
      <patternFill patternType="gray0625">
        <fgColor theme="1"/>
        <bgColor rgb="FFFF5050"/>
      </patternFill>
    </fill>
    <fill>
      <patternFill patternType="solid">
        <fgColor theme="4" tint="-0.249977111117893"/>
        <bgColor indexed="64"/>
      </patternFill>
    </fill>
    <fill>
      <patternFill patternType="gray0625">
        <bgColor theme="4" tint="-0.249977111117893"/>
      </patternFill>
    </fill>
    <fill>
      <patternFill patternType="gray0625">
        <bgColor rgb="FF002060"/>
      </patternFill>
    </fill>
    <fill>
      <patternFill patternType="solid">
        <fgColor rgb="FFFF0000"/>
        <bgColor indexed="64"/>
      </patternFill>
    </fill>
    <fill>
      <gradientFill>
        <stop position="0">
          <color rgb="FFC00000"/>
        </stop>
        <stop position="0.5">
          <color rgb="FF002060"/>
        </stop>
        <stop position="1">
          <color rgb="FFC00000"/>
        </stop>
      </gradientFill>
    </fill>
    <fill>
      <patternFill patternType="solid">
        <fgColor theme="1" tint="0.14999847407452621"/>
        <bgColor indexed="64"/>
      </patternFill>
    </fill>
    <fill>
      <gradientFill>
        <stop position="0">
          <color theme="1" tint="0.34900967436750391"/>
        </stop>
        <stop position="0.5">
          <color theme="1"/>
        </stop>
        <stop position="1">
          <color theme="1" tint="0.34900967436750391"/>
        </stop>
      </gradientFill>
    </fill>
    <fill>
      <patternFill patternType="solid">
        <fgColor theme="1" tint="0.14996795556505021"/>
        <bgColor indexed="64"/>
      </patternFill>
    </fill>
    <fill>
      <gradientFill>
        <stop position="0">
          <color rgb="FFFF0000"/>
        </stop>
        <stop position="1">
          <color rgb="FF002060"/>
        </stop>
      </gradient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gradientFill degree="90">
        <stop position="0">
          <color theme="1"/>
        </stop>
        <stop position="1">
          <color theme="1" tint="0.1490218817712943"/>
        </stop>
      </gradientFill>
    </fill>
    <fill>
      <gradientFill degree="90">
        <stop position="0">
          <color theme="1" tint="0.1490218817712943"/>
        </stop>
        <stop position="1">
          <color theme="1" tint="5.0965910824915313E-2"/>
        </stop>
      </gradientFill>
    </fill>
    <fill>
      <gradientFill degree="90">
        <stop position="0">
          <color theme="1" tint="0.1490218817712943"/>
        </stop>
        <stop position="1">
          <color theme="1"/>
        </stop>
      </gradientFill>
    </fill>
    <fill>
      <gradientFill degree="270">
        <stop position="0">
          <color theme="1" tint="0.1490218817712943"/>
        </stop>
        <stop position="1">
          <color theme="1" tint="5.0965910824915313E-2"/>
        </stop>
      </gradientFill>
    </fill>
    <fill>
      <patternFill patternType="solid">
        <fgColor theme="9"/>
        <bgColor indexed="64"/>
      </patternFill>
    </fill>
    <fill>
      <patternFill patternType="solid">
        <fgColor theme="9"/>
        <bgColor auto="1"/>
      </patternFill>
    </fill>
    <fill>
      <patternFill patternType="solid">
        <fgColor theme="9" tint="-0.249977111117893"/>
        <bgColor indexed="64"/>
      </patternFill>
    </fill>
    <fill>
      <gradientFill degree="180">
        <stop position="0">
          <color theme="7" tint="0.59999389629810485"/>
        </stop>
        <stop position="1">
          <color rgb="FF003300"/>
        </stop>
      </gradientFill>
    </fill>
    <fill>
      <gradientFill type="path" left="1" right="1" top="1" bottom="1">
        <stop position="0">
          <color theme="7" tint="0.59999389629810485"/>
        </stop>
        <stop position="1">
          <color rgb="FF003300"/>
        </stop>
      </gradientFill>
    </fill>
    <fill>
      <gradientFill type="path" left="1" right="1">
        <stop position="0">
          <color theme="7" tint="0.59999389629810485"/>
        </stop>
        <stop position="1">
          <color rgb="FF003300"/>
        </stop>
      </gradientFill>
    </fill>
    <fill>
      <gradientFill degree="270">
        <stop position="0">
          <color theme="7" tint="0.59999389629810485"/>
        </stop>
        <stop position="1">
          <color rgb="FF003300"/>
        </stop>
      </gradientFill>
    </fill>
    <fill>
      <gradientFill>
        <stop position="0">
          <color theme="7" tint="0.59999389629810485"/>
        </stop>
        <stop position="1">
          <color rgb="FF003300"/>
        </stop>
      </gradientFill>
    </fill>
    <fill>
      <gradientFill type="path" top="1" bottom="1">
        <stop position="0">
          <color theme="7" tint="0.59999389629810485"/>
        </stop>
        <stop position="1">
          <color rgb="FF003300"/>
        </stop>
      </gradientFill>
    </fill>
    <fill>
      <gradientFill type="path">
        <stop position="0">
          <color theme="7" tint="0.59999389629810485"/>
        </stop>
        <stop position="1">
          <color rgb="FF003300"/>
        </stop>
      </gradientFill>
    </fill>
    <fill>
      <gradientFill degree="90">
        <stop position="0">
          <color theme="7" tint="0.59999389629810485"/>
        </stop>
        <stop position="1">
          <color rgb="FF003300"/>
        </stop>
      </gradientFill>
    </fill>
  </fills>
  <borders count="43">
    <border>
      <left/>
      <right/>
      <top/>
      <bottom/>
      <diagonal/>
    </border>
    <border>
      <left style="thin">
        <color theme="2"/>
      </left>
      <right/>
      <top/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 style="dashDotDot">
        <color theme="0"/>
      </top>
      <bottom style="double">
        <color theme="0"/>
      </bottom>
      <diagonal/>
    </border>
    <border>
      <left/>
      <right style="double">
        <color theme="0"/>
      </right>
      <top style="dashDotDot">
        <color theme="0"/>
      </top>
      <bottom style="double">
        <color theme="0"/>
      </bottom>
      <diagonal/>
    </border>
    <border>
      <left style="dotted">
        <color theme="0"/>
      </left>
      <right/>
      <top style="dotted">
        <color theme="0"/>
      </top>
      <bottom style="dotted">
        <color theme="0"/>
      </bottom>
      <diagonal/>
    </border>
    <border>
      <left/>
      <right style="dotted">
        <color theme="0"/>
      </right>
      <top style="dotted">
        <color theme="0"/>
      </top>
      <bottom style="dotted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thin">
        <color theme="7"/>
      </left>
      <right/>
      <top style="thin">
        <color theme="0"/>
      </top>
      <bottom/>
      <diagonal/>
    </border>
    <border>
      <left/>
      <right style="thin">
        <color theme="7"/>
      </right>
      <top style="thin">
        <color theme="2"/>
      </top>
      <bottom/>
      <diagonal/>
    </border>
    <border>
      <left style="thin">
        <color theme="7"/>
      </left>
      <right/>
      <top style="thin">
        <color rgb="FFFFC000"/>
      </top>
      <bottom style="thin">
        <color theme="7"/>
      </bottom>
      <diagonal/>
    </border>
    <border>
      <left/>
      <right/>
      <top style="thin">
        <color rgb="FFFFC000"/>
      </top>
      <bottom style="thin">
        <color theme="7"/>
      </bottom>
      <diagonal/>
    </border>
    <border>
      <left/>
      <right style="thin">
        <color theme="7"/>
      </right>
      <top style="thin">
        <color rgb="FFFFC000"/>
      </top>
      <bottom style="thin">
        <color theme="7"/>
      </bottom>
      <diagonal/>
    </border>
    <border>
      <left style="dashDotDot">
        <color theme="0"/>
      </left>
      <right style="dashDotDot">
        <color theme="0"/>
      </right>
      <top/>
      <bottom/>
      <diagonal/>
    </border>
    <border>
      <left style="dashDotDot">
        <color theme="0"/>
      </left>
      <right/>
      <top/>
      <bottom/>
      <diagonal/>
    </border>
    <border>
      <left/>
      <right style="dashDotDot">
        <color theme="0"/>
      </right>
      <top/>
      <bottom/>
      <diagonal/>
    </border>
    <border>
      <left style="dashDotDot">
        <color theme="0"/>
      </left>
      <right/>
      <top/>
      <bottom style="thin">
        <color theme="0"/>
      </bottom>
      <diagonal/>
    </border>
    <border>
      <left/>
      <right style="dashDotDot">
        <color theme="0"/>
      </right>
      <top/>
      <bottom style="thin">
        <color theme="0"/>
      </bottom>
      <diagonal/>
    </border>
    <border>
      <left style="dashDotDot">
        <color theme="0"/>
      </left>
      <right style="dashDotDot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dashDotDot">
        <color theme="0"/>
      </left>
      <right style="dashDotDot">
        <color theme="0"/>
      </right>
      <top style="thin">
        <color theme="0"/>
      </top>
      <bottom/>
      <diagonal/>
    </border>
    <border>
      <left style="dashDotDot">
        <color theme="0"/>
      </left>
      <right/>
      <top style="thin">
        <color theme="0"/>
      </top>
      <bottom/>
      <diagonal/>
    </border>
    <border>
      <left/>
      <right style="dashDotDot">
        <color theme="0"/>
      </right>
      <top style="thin">
        <color theme="0"/>
      </top>
      <bottom/>
      <diagonal/>
    </border>
    <border>
      <left/>
      <right/>
      <top/>
      <bottom style="thin">
        <color theme="1" tint="0.14996795556505021"/>
      </bottom>
      <diagonal/>
    </border>
    <border>
      <left style="dashDotDot">
        <color theme="0"/>
      </left>
      <right style="dashDotDot">
        <color theme="0"/>
      </right>
      <top/>
      <bottom style="thin">
        <color theme="1" tint="0.14996795556505021"/>
      </bottom>
      <diagonal/>
    </border>
    <border>
      <left style="dashDotDot">
        <color theme="0"/>
      </left>
      <right/>
      <top/>
      <bottom style="thin">
        <color theme="1" tint="0.14996795556505021"/>
      </bottom>
      <diagonal/>
    </border>
    <border>
      <left/>
      <right style="dashDotDot">
        <color theme="0"/>
      </right>
      <top/>
      <bottom style="thin">
        <color theme="1" tint="0.149967955565050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7">
    <xf numFmtId="0" fontId="0" fillId="0" borderId="0" xfId="0"/>
    <xf numFmtId="0" fontId="0" fillId="0" borderId="0" xfId="0" applyAlignment="1">
      <alignment horizontal="left" vertical="center"/>
    </xf>
    <xf numFmtId="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2" borderId="0" xfId="0" applyFill="1"/>
    <xf numFmtId="44" fontId="0" fillId="0" borderId="0" xfId="0" applyNumberFormat="1" applyAlignment="1">
      <alignment horizontal="center" vertical="center"/>
    </xf>
    <xf numFmtId="0" fontId="5" fillId="3" borderId="0" xfId="0" applyFont="1" applyFill="1" applyAlignment="1">
      <alignment horizontal="center" vertical="center" textRotation="90"/>
    </xf>
    <xf numFmtId="0" fontId="6" fillId="4" borderId="0" xfId="0" applyFont="1" applyFill="1"/>
    <xf numFmtId="0" fontId="3" fillId="4" borderId="0" xfId="0" applyFont="1" applyFill="1"/>
    <xf numFmtId="0" fontId="6" fillId="3" borderId="0" xfId="0" applyFont="1" applyFill="1"/>
    <xf numFmtId="0" fontId="6" fillId="8" borderId="4" xfId="0" applyFont="1" applyFill="1" applyBorder="1"/>
    <xf numFmtId="0" fontId="6" fillId="9" borderId="0" xfId="0" applyFont="1" applyFill="1"/>
    <xf numFmtId="0" fontId="6" fillId="9" borderId="9" xfId="0" applyFont="1" applyFill="1" applyBorder="1"/>
    <xf numFmtId="0" fontId="5" fillId="11" borderId="0" xfId="0" applyFont="1" applyFill="1" applyAlignment="1">
      <alignment horizontal="center" vertical="center" textRotation="90"/>
    </xf>
    <xf numFmtId="0" fontId="5" fillId="11" borderId="9" xfId="0" applyFont="1" applyFill="1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3" fillId="3" borderId="0" xfId="0" applyFont="1" applyFill="1"/>
    <xf numFmtId="8" fontId="0" fillId="16" borderId="0" xfId="0" applyNumberFormat="1" applyFill="1" applyAlignment="1">
      <alignment horizontal="center" vertical="center"/>
    </xf>
    <xf numFmtId="8" fontId="0" fillId="17" borderId="0" xfId="0" applyNumberFormat="1" applyFill="1" applyAlignment="1">
      <alignment horizontal="center" vertical="center"/>
    </xf>
    <xf numFmtId="8" fontId="0" fillId="18" borderId="0" xfId="0" applyNumberFormat="1" applyFill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0" fontId="0" fillId="18" borderId="0" xfId="0" applyFill="1"/>
    <xf numFmtId="8" fontId="1" fillId="18" borderId="0" xfId="0" applyNumberFormat="1" applyFont="1" applyFill="1" applyAlignment="1">
      <alignment horizontal="center" vertical="center"/>
    </xf>
    <xf numFmtId="0" fontId="0" fillId="19" borderId="0" xfId="0" applyFill="1"/>
    <xf numFmtId="8" fontId="0" fillId="19" borderId="0" xfId="0" applyNumberForma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166" fontId="0" fillId="19" borderId="0" xfId="0" applyNumberFormat="1" applyFill="1" applyAlignment="1">
      <alignment horizontal="center" vertical="center"/>
    </xf>
    <xf numFmtId="166" fontId="0" fillId="19" borderId="4" xfId="0" applyNumberFormat="1" applyFill="1" applyBorder="1" applyAlignment="1">
      <alignment horizontal="center" vertical="center"/>
    </xf>
    <xf numFmtId="0" fontId="5" fillId="19" borderId="0" xfId="0" applyFont="1" applyFill="1" applyAlignment="1">
      <alignment horizontal="left" vertical="center"/>
    </xf>
    <xf numFmtId="164" fontId="0" fillId="19" borderId="0" xfId="0" applyNumberFormat="1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0" fontId="3" fillId="16" borderId="0" xfId="0" applyFont="1" applyFill="1"/>
    <xf numFmtId="0" fontId="3" fillId="17" borderId="0" xfId="0" applyFont="1" applyFill="1"/>
    <xf numFmtId="8" fontId="3" fillId="16" borderId="0" xfId="0" applyNumberFormat="1" applyFont="1" applyFill="1" applyAlignment="1">
      <alignment horizontal="center" vertical="center"/>
    </xf>
    <xf numFmtId="14" fontId="3" fillId="16" borderId="0" xfId="0" applyNumberFormat="1" applyFont="1" applyFill="1" applyAlignment="1">
      <alignment horizontal="center" vertical="center"/>
    </xf>
    <xf numFmtId="8" fontId="3" fillId="17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8" fontId="3" fillId="3" borderId="0" xfId="0" applyNumberFormat="1" applyFont="1" applyFill="1"/>
    <xf numFmtId="14" fontId="3" fillId="3" borderId="0" xfId="0" applyNumberFormat="1" applyFont="1" applyFill="1"/>
    <xf numFmtId="8" fontId="3" fillId="17" borderId="0" xfId="0" applyNumberFormat="1" applyFont="1" applyFill="1"/>
    <xf numFmtId="14" fontId="3" fillId="17" borderId="0" xfId="0" applyNumberFormat="1" applyFont="1" applyFill="1"/>
    <xf numFmtId="0" fontId="0" fillId="16" borderId="0" xfId="0" applyFill="1"/>
    <xf numFmtId="14" fontId="0" fillId="16" borderId="0" xfId="0" applyNumberFormat="1" applyFill="1" applyAlignment="1">
      <alignment horizontal="center" vertical="center"/>
    </xf>
    <xf numFmtId="8" fontId="3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/>
    <xf numFmtId="8" fontId="3" fillId="20" borderId="0" xfId="0" applyNumberFormat="1" applyFont="1" applyFill="1" applyAlignment="1">
      <alignment horizontal="center" vertical="center"/>
    </xf>
    <xf numFmtId="0" fontId="3" fillId="21" borderId="0" xfId="0" applyFont="1" applyFill="1"/>
    <xf numFmtId="0" fontId="3" fillId="21" borderId="0" xfId="0" applyFont="1" applyFill="1" applyAlignment="1">
      <alignment vertical="center"/>
    </xf>
    <xf numFmtId="8" fontId="3" fillId="21" borderId="0" xfId="0" applyNumberFormat="1" applyFont="1" applyFill="1" applyAlignment="1">
      <alignment horizontal="center" vertical="center"/>
    </xf>
    <xf numFmtId="1" fontId="3" fillId="21" borderId="0" xfId="0" applyNumberFormat="1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166" fontId="3" fillId="21" borderId="0" xfId="0" applyNumberFormat="1" applyFont="1" applyFill="1" applyAlignment="1">
      <alignment horizontal="center" vertical="center"/>
    </xf>
    <xf numFmtId="166" fontId="3" fillId="22" borderId="0" xfId="0" applyNumberFormat="1" applyFont="1" applyFill="1" applyAlignment="1">
      <alignment horizontal="center" vertical="center"/>
    </xf>
    <xf numFmtId="8" fontId="3" fillId="22" borderId="0" xfId="0" applyNumberFormat="1" applyFont="1" applyFill="1" applyAlignment="1">
      <alignment horizontal="center" vertical="center"/>
    </xf>
    <xf numFmtId="0" fontId="3" fillId="22" borderId="0" xfId="0" applyFont="1" applyFill="1"/>
    <xf numFmtId="44" fontId="3" fillId="3" borderId="0" xfId="0" applyNumberFormat="1" applyFont="1" applyFill="1" applyAlignment="1">
      <alignment horizontal="center" vertical="center"/>
    </xf>
    <xf numFmtId="0" fontId="3" fillId="23" borderId="0" xfId="0" applyFont="1" applyFill="1" applyAlignment="1">
      <alignment vertical="center"/>
    </xf>
    <xf numFmtId="44" fontId="3" fillId="23" borderId="0" xfId="0" applyNumberFormat="1" applyFont="1" applyFill="1" applyAlignment="1">
      <alignment horizontal="center" vertical="center"/>
    </xf>
    <xf numFmtId="0" fontId="3" fillId="23" borderId="0" xfId="0" applyFont="1" applyFill="1" applyAlignment="1">
      <alignment horizontal="center" vertical="center"/>
    </xf>
    <xf numFmtId="0" fontId="3" fillId="25" borderId="0" xfId="0" applyFont="1" applyFill="1" applyAlignment="1">
      <alignment vertical="center"/>
    </xf>
    <xf numFmtId="0" fontId="3" fillId="25" borderId="0" xfId="0" applyFont="1" applyFill="1" applyAlignment="1">
      <alignment horizontal="center" vertical="center"/>
    </xf>
    <xf numFmtId="0" fontId="3" fillId="25" borderId="0" xfId="0" applyFont="1" applyFill="1"/>
    <xf numFmtId="166" fontId="3" fillId="25" borderId="0" xfId="0" applyNumberFormat="1" applyFont="1" applyFill="1" applyAlignment="1">
      <alignment horizontal="center" vertical="center"/>
    </xf>
    <xf numFmtId="0" fontId="3" fillId="24" borderId="4" xfId="0" applyFont="1" applyFill="1" applyBorder="1"/>
    <xf numFmtId="0" fontId="6" fillId="23" borderId="0" xfId="0" applyFont="1" applyFill="1" applyAlignment="1">
      <alignment horizontal="center" vertical="center" textRotation="90"/>
    </xf>
    <xf numFmtId="0" fontId="3" fillId="23" borderId="0" xfId="0" applyFont="1" applyFill="1"/>
    <xf numFmtId="0" fontId="6" fillId="11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10" fillId="11" borderId="7" xfId="0" applyFont="1" applyFill="1" applyBorder="1" applyAlignment="1">
      <alignment vertical="center"/>
    </xf>
    <xf numFmtId="14" fontId="6" fillId="11" borderId="8" xfId="0" applyNumberFormat="1" applyFont="1" applyFill="1" applyBorder="1" applyAlignment="1">
      <alignment vertical="center"/>
    </xf>
    <xf numFmtId="0" fontId="6" fillId="11" borderId="9" xfId="0" applyFont="1" applyFill="1" applyBorder="1" applyAlignment="1">
      <alignment vertical="center"/>
    </xf>
    <xf numFmtId="0" fontId="6" fillId="12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6" fillId="6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6" fillId="9" borderId="0" xfId="0" applyFont="1" applyFill="1" applyAlignment="1">
      <alignment vertical="center"/>
    </xf>
    <xf numFmtId="44" fontId="6" fillId="9" borderId="0" xfId="0" applyNumberFormat="1" applyFont="1" applyFill="1" applyAlignment="1">
      <alignment vertical="center"/>
    </xf>
    <xf numFmtId="0" fontId="6" fillId="15" borderId="10" xfId="0" applyFont="1" applyFill="1" applyBorder="1" applyAlignment="1">
      <alignment vertical="center"/>
    </xf>
    <xf numFmtId="44" fontId="6" fillId="15" borderId="11" xfId="0" applyNumberFormat="1" applyFont="1" applyFill="1" applyBorder="1" applyAlignment="1">
      <alignment vertical="center"/>
    </xf>
    <xf numFmtId="0" fontId="6" fillId="14" borderId="12" xfId="0" applyFont="1" applyFill="1" applyBorder="1" applyAlignment="1">
      <alignment vertical="center"/>
    </xf>
    <xf numFmtId="44" fontId="6" fillId="14" borderId="13" xfId="0" applyNumberFormat="1" applyFont="1" applyFill="1" applyBorder="1" applyAlignment="1">
      <alignment vertical="center"/>
    </xf>
    <xf numFmtId="0" fontId="6" fillId="13" borderId="14" xfId="0" applyFont="1" applyFill="1" applyBorder="1" applyAlignment="1">
      <alignment vertical="center"/>
    </xf>
    <xf numFmtId="44" fontId="6" fillId="13" borderId="15" xfId="0" applyNumberFormat="1" applyFont="1" applyFill="1" applyBorder="1" applyAlignment="1">
      <alignment vertical="center"/>
    </xf>
    <xf numFmtId="0" fontId="6" fillId="9" borderId="9" xfId="0" applyFont="1" applyFill="1" applyBorder="1" applyAlignment="1">
      <alignment vertical="center"/>
    </xf>
    <xf numFmtId="44" fontId="6" fillId="9" borderId="9" xfId="0" applyNumberFormat="1" applyFont="1" applyFill="1" applyBorder="1" applyAlignment="1">
      <alignment vertical="center"/>
    </xf>
    <xf numFmtId="0" fontId="12" fillId="5" borderId="0" xfId="0" applyFont="1" applyFill="1" applyAlignment="1">
      <alignment vertical="center"/>
    </xf>
    <xf numFmtId="44" fontId="6" fillId="4" borderId="0" xfId="0" applyNumberFormat="1" applyFont="1" applyFill="1" applyAlignment="1">
      <alignment vertical="center"/>
    </xf>
    <xf numFmtId="0" fontId="11" fillId="5" borderId="0" xfId="0" applyFont="1" applyFill="1" applyAlignment="1">
      <alignment vertical="center"/>
    </xf>
    <xf numFmtId="44" fontId="3" fillId="4" borderId="0" xfId="0" applyNumberFormat="1" applyFont="1" applyFill="1" applyAlignment="1">
      <alignment vertical="center"/>
    </xf>
    <xf numFmtId="0" fontId="6" fillId="5" borderId="0" xfId="0" applyFont="1" applyFill="1" applyAlignment="1">
      <alignment vertical="center"/>
    </xf>
    <xf numFmtId="0" fontId="6" fillId="27" borderId="0" xfId="0" applyFont="1" applyFill="1" applyAlignment="1">
      <alignment horizontal="center" vertical="center" textRotation="90"/>
    </xf>
    <xf numFmtId="0" fontId="6" fillId="25" borderId="0" xfId="0" applyFont="1" applyFill="1" applyAlignment="1">
      <alignment vertical="center"/>
    </xf>
    <xf numFmtId="44" fontId="6" fillId="25" borderId="0" xfId="0" applyNumberFormat="1" applyFont="1" applyFill="1" applyAlignment="1">
      <alignment horizontal="center" vertical="center"/>
    </xf>
    <xf numFmtId="0" fontId="6" fillId="25" borderId="0" xfId="0" applyFont="1" applyFill="1" applyAlignment="1">
      <alignment horizontal="center" vertical="center"/>
    </xf>
    <xf numFmtId="0" fontId="6" fillId="25" borderId="0" xfId="0" applyFont="1" applyFill="1"/>
    <xf numFmtId="0" fontId="6" fillId="25" borderId="16" xfId="0" applyFont="1" applyFill="1" applyBorder="1" applyAlignment="1">
      <alignment vertical="center"/>
    </xf>
    <xf numFmtId="166" fontId="6" fillId="25" borderId="17" xfId="0" applyNumberFormat="1" applyFont="1" applyFill="1" applyBorder="1" applyAlignment="1">
      <alignment horizontal="center" vertical="center"/>
    </xf>
    <xf numFmtId="14" fontId="6" fillId="25" borderId="0" xfId="0" applyNumberFormat="1" applyFont="1" applyFill="1" applyAlignment="1">
      <alignment horizontal="center" vertical="center"/>
    </xf>
    <xf numFmtId="0" fontId="6" fillId="25" borderId="10" xfId="0" applyFont="1" applyFill="1" applyBorder="1" applyAlignment="1">
      <alignment vertical="center"/>
    </xf>
    <xf numFmtId="44" fontId="6" fillId="25" borderId="11" xfId="0" applyNumberFormat="1" applyFont="1" applyFill="1" applyBorder="1" applyAlignment="1">
      <alignment horizontal="center" vertical="center"/>
    </xf>
    <xf numFmtId="0" fontId="6" fillId="25" borderId="12" xfId="0" applyFont="1" applyFill="1" applyBorder="1" applyAlignment="1">
      <alignment vertical="center"/>
    </xf>
    <xf numFmtId="44" fontId="6" fillId="25" borderId="13" xfId="0" applyNumberFormat="1" applyFont="1" applyFill="1" applyBorder="1" applyAlignment="1">
      <alignment horizontal="center" vertical="center"/>
    </xf>
    <xf numFmtId="0" fontId="6" fillId="25" borderId="14" xfId="0" applyFont="1" applyFill="1" applyBorder="1" applyAlignment="1">
      <alignment vertical="center"/>
    </xf>
    <xf numFmtId="44" fontId="6" fillId="25" borderId="15" xfId="0" applyNumberFormat="1" applyFont="1" applyFill="1" applyBorder="1" applyAlignment="1">
      <alignment horizontal="center" vertical="center"/>
    </xf>
    <xf numFmtId="0" fontId="6" fillId="27" borderId="9" xfId="0" applyFont="1" applyFill="1" applyBorder="1" applyAlignment="1">
      <alignment horizontal="center" vertical="center" textRotation="90"/>
    </xf>
    <xf numFmtId="0" fontId="6" fillId="25" borderId="9" xfId="0" applyFont="1" applyFill="1" applyBorder="1" applyAlignment="1">
      <alignment vertical="center"/>
    </xf>
    <xf numFmtId="44" fontId="6" fillId="25" borderId="9" xfId="0" applyNumberFormat="1" applyFont="1" applyFill="1" applyBorder="1" applyAlignment="1">
      <alignment horizontal="center" vertical="center"/>
    </xf>
    <xf numFmtId="0" fontId="6" fillId="25" borderId="9" xfId="0" applyFont="1" applyFill="1" applyBorder="1" applyAlignment="1">
      <alignment horizontal="center" vertical="center"/>
    </xf>
    <xf numFmtId="0" fontId="6" fillId="25" borderId="9" xfId="0" applyFont="1" applyFill="1" applyBorder="1"/>
    <xf numFmtId="0" fontId="6" fillId="23" borderId="0" xfId="0" applyFont="1" applyFill="1" applyAlignment="1">
      <alignment vertical="center"/>
    </xf>
    <xf numFmtId="44" fontId="6" fillId="23" borderId="0" xfId="0" applyNumberFormat="1" applyFont="1" applyFill="1" applyAlignment="1">
      <alignment horizontal="center" vertical="center"/>
    </xf>
    <xf numFmtId="0" fontId="6" fillId="23" borderId="0" xfId="0" applyFont="1" applyFill="1" applyAlignment="1">
      <alignment horizontal="center" vertical="center"/>
    </xf>
    <xf numFmtId="44" fontId="6" fillId="3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23" borderId="0" xfId="0" applyFont="1" applyFill="1"/>
    <xf numFmtId="0" fontId="6" fillId="23" borderId="18" xfId="0" applyFont="1" applyFill="1" applyBorder="1" applyAlignment="1">
      <alignment horizontal="center" vertical="center"/>
    </xf>
    <xf numFmtId="0" fontId="19" fillId="23" borderId="3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20" fillId="3" borderId="3" xfId="0" applyFont="1" applyFill="1" applyBorder="1" applyAlignment="1">
      <alignment horizontal="center" vertical="center"/>
    </xf>
    <xf numFmtId="0" fontId="6" fillId="28" borderId="0" xfId="0" applyFont="1" applyFill="1" applyAlignment="1">
      <alignment horizontal="center" vertical="center"/>
    </xf>
    <xf numFmtId="0" fontId="3" fillId="28" borderId="0" xfId="0" applyFont="1" applyFill="1" applyAlignment="1">
      <alignment horizontal="center" vertical="center"/>
    </xf>
    <xf numFmtId="0" fontId="10" fillId="2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5" fillId="23" borderId="9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44" fontId="5" fillId="23" borderId="9" xfId="0" applyNumberFormat="1" applyFont="1" applyFill="1" applyBorder="1" applyAlignment="1">
      <alignment horizontal="center" vertical="center"/>
    </xf>
    <xf numFmtId="44" fontId="5" fillId="3" borderId="9" xfId="0" applyNumberFormat="1" applyFont="1" applyFill="1" applyBorder="1" applyAlignment="1">
      <alignment horizontal="center" vertical="center"/>
    </xf>
    <xf numFmtId="0" fontId="18" fillId="29" borderId="0" xfId="0" applyFont="1" applyFill="1" applyAlignment="1">
      <alignment vertical="center"/>
    </xf>
    <xf numFmtId="166" fontId="18" fillId="29" borderId="0" xfId="0" applyNumberFormat="1" applyFont="1" applyFill="1" applyAlignment="1">
      <alignment horizontal="center" vertical="center"/>
    </xf>
    <xf numFmtId="8" fontId="18" fillId="29" borderId="0" xfId="0" applyNumberFormat="1" applyFont="1" applyFill="1" applyAlignment="1">
      <alignment horizontal="center" vertical="center"/>
    </xf>
    <xf numFmtId="0" fontId="18" fillId="29" borderId="0" xfId="0" applyFont="1" applyFill="1" applyAlignment="1">
      <alignment horizontal="center" vertical="center"/>
    </xf>
    <xf numFmtId="0" fontId="18" fillId="29" borderId="0" xfId="0" applyFont="1" applyFill="1"/>
    <xf numFmtId="8" fontId="3" fillId="25" borderId="0" xfId="0" applyNumberFormat="1" applyFont="1" applyFill="1" applyAlignment="1">
      <alignment horizontal="center" vertical="center"/>
    </xf>
    <xf numFmtId="166" fontId="18" fillId="30" borderId="0" xfId="0" applyNumberFormat="1" applyFont="1" applyFill="1" applyAlignment="1">
      <alignment horizontal="center" vertical="center"/>
    </xf>
    <xf numFmtId="8" fontId="18" fillId="30" borderId="0" xfId="0" applyNumberFormat="1" applyFont="1" applyFill="1" applyAlignment="1">
      <alignment horizontal="center" vertical="center"/>
    </xf>
    <xf numFmtId="0" fontId="18" fillId="30" borderId="0" xfId="0" applyFont="1" applyFill="1" applyAlignment="1">
      <alignment horizontal="center" vertical="center"/>
    </xf>
    <xf numFmtId="0" fontId="18" fillId="30" borderId="0" xfId="0" applyFont="1" applyFill="1"/>
    <xf numFmtId="44" fontId="18" fillId="30" borderId="0" xfId="0" applyNumberFormat="1" applyFont="1" applyFill="1" applyAlignment="1">
      <alignment horizontal="center" vertical="center"/>
    </xf>
    <xf numFmtId="0" fontId="18" fillId="31" borderId="0" xfId="0" applyFont="1" applyFill="1" applyAlignment="1">
      <alignment vertical="center"/>
    </xf>
    <xf numFmtId="166" fontId="18" fillId="31" borderId="0" xfId="0" applyNumberFormat="1" applyFont="1" applyFill="1" applyAlignment="1">
      <alignment horizontal="center" vertical="center"/>
    </xf>
    <xf numFmtId="8" fontId="18" fillId="31" borderId="0" xfId="0" applyNumberFormat="1" applyFont="1" applyFill="1" applyAlignment="1">
      <alignment horizontal="center" vertical="center"/>
    </xf>
    <xf numFmtId="0" fontId="18" fillId="31" borderId="0" xfId="0" applyFont="1" applyFill="1" applyAlignment="1">
      <alignment horizontal="center" vertical="center"/>
    </xf>
    <xf numFmtId="0" fontId="18" fillId="31" borderId="0" xfId="0" applyFont="1" applyFill="1"/>
    <xf numFmtId="0" fontId="18" fillId="32" borderId="0" xfId="0" applyFont="1" applyFill="1" applyAlignment="1">
      <alignment vertical="center"/>
    </xf>
    <xf numFmtId="166" fontId="18" fillId="32" borderId="0" xfId="0" applyNumberFormat="1" applyFont="1" applyFill="1" applyAlignment="1">
      <alignment horizontal="center" vertical="center"/>
    </xf>
    <xf numFmtId="8" fontId="18" fillId="32" borderId="0" xfId="0" applyNumberFormat="1" applyFont="1" applyFill="1" applyAlignment="1">
      <alignment horizontal="center" vertical="center"/>
    </xf>
    <xf numFmtId="0" fontId="18" fillId="32" borderId="0" xfId="0" applyFont="1" applyFill="1" applyAlignment="1">
      <alignment horizontal="center" vertical="center"/>
    </xf>
    <xf numFmtId="0" fontId="18" fillId="32" borderId="0" xfId="0" applyFont="1" applyFill="1"/>
    <xf numFmtId="0" fontId="18" fillId="33" borderId="0" xfId="0" applyFont="1" applyFill="1" applyAlignment="1">
      <alignment vertical="center"/>
    </xf>
    <xf numFmtId="166" fontId="18" fillId="33" borderId="0" xfId="0" applyNumberFormat="1" applyFont="1" applyFill="1" applyAlignment="1">
      <alignment horizontal="center" vertical="center"/>
    </xf>
    <xf numFmtId="8" fontId="18" fillId="33" borderId="0" xfId="0" applyNumberFormat="1" applyFont="1" applyFill="1" applyAlignment="1">
      <alignment horizontal="center" vertical="center"/>
    </xf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4" borderId="0" xfId="0" applyFont="1" applyFill="1" applyAlignment="1">
      <alignment vertical="center"/>
    </xf>
    <xf numFmtId="166" fontId="18" fillId="34" borderId="0" xfId="0" applyNumberFormat="1" applyFont="1" applyFill="1" applyAlignment="1">
      <alignment horizontal="center" vertical="center"/>
    </xf>
    <xf numFmtId="8" fontId="18" fillId="34" borderId="0" xfId="0" applyNumberFormat="1" applyFont="1" applyFill="1" applyAlignment="1">
      <alignment horizontal="center" vertical="center"/>
    </xf>
    <xf numFmtId="0" fontId="18" fillId="34" borderId="0" xfId="0" applyFont="1" applyFill="1" applyAlignment="1">
      <alignment horizontal="center" vertical="center"/>
    </xf>
    <xf numFmtId="0" fontId="18" fillId="34" borderId="0" xfId="0" applyFont="1" applyFill="1"/>
    <xf numFmtId="0" fontId="9" fillId="25" borderId="0" xfId="0" applyFont="1" applyFill="1" applyAlignment="1">
      <alignment vertical="center"/>
    </xf>
    <xf numFmtId="166" fontId="8" fillId="25" borderId="0" xfId="0" applyNumberFormat="1" applyFont="1" applyFill="1" applyAlignment="1">
      <alignment horizontal="center" vertical="center"/>
    </xf>
    <xf numFmtId="8" fontId="8" fillId="25" borderId="0" xfId="0" applyNumberFormat="1" applyFont="1" applyFill="1" applyAlignment="1">
      <alignment horizontal="center" vertical="center"/>
    </xf>
    <xf numFmtId="0" fontId="8" fillId="25" borderId="0" xfId="0" applyFont="1" applyFill="1" applyAlignment="1">
      <alignment horizontal="center" vertical="center"/>
    </xf>
    <xf numFmtId="0" fontId="8" fillId="25" borderId="0" xfId="0" applyFont="1" applyFill="1"/>
    <xf numFmtId="8" fontId="7" fillId="25" borderId="0" xfId="0" applyNumberFormat="1" applyFont="1" applyFill="1" applyAlignment="1">
      <alignment horizontal="center" vertical="center"/>
    </xf>
    <xf numFmtId="8" fontId="21" fillId="33" borderId="0" xfId="0" applyNumberFormat="1" applyFont="1" applyFill="1" applyAlignment="1">
      <alignment horizontal="center" vertical="center"/>
    </xf>
    <xf numFmtId="8" fontId="21" fillId="29" borderId="0" xfId="0" applyNumberFormat="1" applyFont="1" applyFill="1" applyAlignment="1">
      <alignment horizontal="center" vertical="center"/>
    </xf>
    <xf numFmtId="8" fontId="21" fillId="31" borderId="0" xfId="0" applyNumberFormat="1" applyFont="1" applyFill="1" applyAlignment="1">
      <alignment horizontal="center" vertical="center"/>
    </xf>
    <xf numFmtId="8" fontId="21" fillId="32" borderId="0" xfId="0" applyNumberFormat="1" applyFont="1" applyFill="1" applyAlignment="1">
      <alignment horizontal="center" vertical="center"/>
    </xf>
    <xf numFmtId="8" fontId="21" fillId="30" borderId="0" xfId="0" applyNumberFormat="1" applyFont="1" applyFill="1" applyAlignment="1">
      <alignment horizontal="center" vertical="center"/>
    </xf>
    <xf numFmtId="8" fontId="21" fillId="34" borderId="0" xfId="0" applyNumberFormat="1" applyFont="1" applyFill="1" applyAlignment="1">
      <alignment horizontal="center" vertical="center"/>
    </xf>
    <xf numFmtId="8" fontId="2" fillId="25" borderId="0" xfId="0" applyNumberFormat="1" applyFont="1" applyFill="1" applyAlignment="1">
      <alignment horizontal="center" vertical="center"/>
    </xf>
    <xf numFmtId="14" fontId="3" fillId="20" borderId="0" xfId="0" applyNumberFormat="1" applyFont="1" applyFill="1" applyAlignment="1">
      <alignment horizontal="center" vertical="center"/>
    </xf>
    <xf numFmtId="0" fontId="2" fillId="16" borderId="0" xfId="0" applyFont="1" applyFill="1"/>
    <xf numFmtId="0" fontId="9" fillId="16" borderId="0" xfId="0" applyFont="1" applyFill="1"/>
    <xf numFmtId="0" fontId="2" fillId="20" borderId="0" xfId="0" applyFont="1" applyFill="1"/>
    <xf numFmtId="0" fontId="9" fillId="20" borderId="0" xfId="0" applyFont="1" applyFill="1"/>
    <xf numFmtId="0" fontId="23" fillId="19" borderId="0" xfId="0" applyFont="1" applyFill="1" applyAlignment="1">
      <alignment horizontal="left" vertical="center"/>
    </xf>
    <xf numFmtId="0" fontId="9" fillId="21" borderId="0" xfId="0" applyFont="1" applyFill="1" applyAlignment="1">
      <alignment vertical="center"/>
    </xf>
    <xf numFmtId="0" fontId="6" fillId="21" borderId="0" xfId="0" applyFont="1" applyFill="1"/>
    <xf numFmtId="0" fontId="5" fillId="21" borderId="0" xfId="0" applyFont="1" applyFill="1" applyAlignment="1">
      <alignment vertical="center"/>
    </xf>
    <xf numFmtId="8" fontId="6" fillId="21" borderId="0" xfId="0" applyNumberFormat="1" applyFont="1" applyFill="1" applyAlignment="1">
      <alignment horizontal="center" vertical="center"/>
    </xf>
    <xf numFmtId="1" fontId="6" fillId="21" borderId="0" xfId="0" applyNumberFormat="1" applyFont="1" applyFill="1" applyAlignment="1">
      <alignment horizontal="center" vertical="center"/>
    </xf>
    <xf numFmtId="0" fontId="6" fillId="21" borderId="0" xfId="0" applyFont="1" applyFill="1" applyAlignment="1">
      <alignment horizontal="center" vertical="center"/>
    </xf>
    <xf numFmtId="166" fontId="6" fillId="21" borderId="0" xfId="0" applyNumberFormat="1" applyFont="1" applyFill="1" applyAlignment="1">
      <alignment horizontal="center" vertical="center"/>
    </xf>
    <xf numFmtId="166" fontId="6" fillId="22" borderId="0" xfId="0" applyNumberFormat="1" applyFont="1" applyFill="1" applyAlignment="1">
      <alignment horizontal="center" vertical="center"/>
    </xf>
    <xf numFmtId="8" fontId="6" fillId="22" borderId="0" xfId="0" applyNumberFormat="1" applyFont="1" applyFill="1" applyAlignment="1">
      <alignment horizontal="center" vertical="center"/>
    </xf>
    <xf numFmtId="0" fontId="6" fillId="22" borderId="0" xfId="0" applyFont="1" applyFill="1"/>
    <xf numFmtId="0" fontId="24" fillId="23" borderId="0" xfId="0" applyFont="1" applyFill="1" applyAlignment="1">
      <alignment vertical="center"/>
    </xf>
    <xf numFmtId="44" fontId="24" fillId="2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vertical="center"/>
    </xf>
    <xf numFmtId="44" fontId="24" fillId="3" borderId="0" xfId="0" applyNumberFormat="1" applyFont="1" applyFill="1" applyAlignment="1">
      <alignment horizontal="center" vertical="center"/>
    </xf>
    <xf numFmtId="0" fontId="21" fillId="30" borderId="0" xfId="0" applyFont="1" applyFill="1" applyAlignment="1">
      <alignment vertical="center"/>
    </xf>
    <xf numFmtId="8" fontId="25" fillId="29" borderId="0" xfId="0" applyNumberFormat="1" applyFont="1" applyFill="1" applyAlignment="1">
      <alignment horizontal="center" vertical="center"/>
    </xf>
    <xf numFmtId="0" fontId="22" fillId="29" borderId="0" xfId="0" applyFont="1" applyFill="1" applyAlignment="1">
      <alignment vertical="center"/>
    </xf>
    <xf numFmtId="0" fontId="3" fillId="0" borderId="0" xfId="0" applyFont="1"/>
    <xf numFmtId="8" fontId="3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8" fontId="5" fillId="23" borderId="0" xfId="0" applyNumberFormat="1" applyFont="1" applyFill="1" applyAlignment="1">
      <alignment horizontal="center" vertical="center"/>
    </xf>
    <xf numFmtId="8" fontId="5" fillId="3" borderId="0" xfId="0" applyNumberFormat="1" applyFont="1" applyFill="1" applyAlignment="1">
      <alignment horizontal="center" vertical="center"/>
    </xf>
    <xf numFmtId="8" fontId="3" fillId="25" borderId="0" xfId="0" applyNumberFormat="1" applyFont="1" applyFill="1"/>
    <xf numFmtId="16" fontId="11" fillId="25" borderId="0" xfId="0" applyNumberFormat="1" applyFont="1" applyFill="1" applyAlignment="1">
      <alignment vertical="center"/>
    </xf>
    <xf numFmtId="0" fontId="11" fillId="25" borderId="0" xfId="0" applyFont="1" applyFill="1"/>
    <xf numFmtId="8" fontId="11" fillId="25" borderId="0" xfId="0" applyNumberFormat="1" applyFont="1" applyFill="1"/>
    <xf numFmtId="166" fontId="2" fillId="25" borderId="0" xfId="0" applyNumberFormat="1" applyFont="1" applyFill="1" applyBorder="1" applyAlignment="1">
      <alignment horizontal="center" vertical="center"/>
    </xf>
    <xf numFmtId="8" fontId="2" fillId="25" borderId="29" xfId="0" applyNumberFormat="1" applyFont="1" applyFill="1" applyBorder="1" applyAlignment="1">
      <alignment horizontal="center" vertical="center"/>
    </xf>
    <xf numFmtId="0" fontId="2" fillId="25" borderId="0" xfId="0" applyFont="1" applyFill="1" applyBorder="1" applyAlignment="1">
      <alignment horizontal="center" vertical="center"/>
    </xf>
    <xf numFmtId="166" fontId="2" fillId="25" borderId="9" xfId="0" applyNumberFormat="1" applyFont="1" applyFill="1" applyBorder="1" applyAlignment="1">
      <alignment horizontal="center" vertical="center"/>
    </xf>
    <xf numFmtId="8" fontId="2" fillId="25" borderId="34" xfId="0" applyNumberFormat="1" applyFont="1" applyFill="1" applyBorder="1" applyAlignment="1">
      <alignment horizontal="center" vertical="center"/>
    </xf>
    <xf numFmtId="8" fontId="2" fillId="25" borderId="32" xfId="0" applyNumberFormat="1" applyFont="1" applyFill="1" applyBorder="1" applyAlignment="1">
      <alignment horizontal="center" vertical="center"/>
    </xf>
    <xf numFmtId="0" fontId="2" fillId="25" borderId="33" xfId="0" applyFont="1" applyFill="1" applyBorder="1" applyAlignment="1">
      <alignment horizontal="center" vertical="center"/>
    </xf>
    <xf numFmtId="0" fontId="2" fillId="25" borderId="32" xfId="0" applyFont="1" applyFill="1" applyBorder="1" applyAlignment="1">
      <alignment horizontal="center" vertical="center"/>
    </xf>
    <xf numFmtId="0" fontId="2" fillId="25" borderId="9" xfId="0" applyFont="1" applyFill="1" applyBorder="1" applyAlignment="1">
      <alignment horizontal="center" vertical="center"/>
    </xf>
    <xf numFmtId="166" fontId="11" fillId="25" borderId="35" xfId="0" applyNumberFormat="1" applyFont="1" applyFill="1" applyBorder="1" applyAlignment="1">
      <alignment horizontal="center" vertical="center"/>
    </xf>
    <xf numFmtId="8" fontId="11" fillId="25" borderId="36" xfId="0" applyNumberFormat="1" applyFont="1" applyFill="1" applyBorder="1" applyAlignment="1">
      <alignment horizontal="center" vertical="center"/>
    </xf>
    <xf numFmtId="0" fontId="11" fillId="25" borderId="37" xfId="0" applyFont="1" applyFill="1" applyBorder="1" applyAlignment="1">
      <alignment horizontal="center"/>
    </xf>
    <xf numFmtId="0" fontId="11" fillId="25" borderId="38" xfId="0" applyFont="1" applyFill="1" applyBorder="1" applyAlignment="1">
      <alignment horizontal="center" vertical="center"/>
    </xf>
    <xf numFmtId="8" fontId="11" fillId="25" borderId="37" xfId="0" applyNumberFormat="1" applyFont="1" applyFill="1" applyBorder="1" applyAlignment="1">
      <alignment horizontal="center" vertical="center"/>
    </xf>
    <xf numFmtId="8" fontId="11" fillId="25" borderId="38" xfId="0" applyNumberFormat="1" applyFont="1" applyFill="1" applyBorder="1" applyAlignment="1">
      <alignment horizontal="center" vertical="center"/>
    </xf>
    <xf numFmtId="8" fontId="11" fillId="25" borderId="35" xfId="0" applyNumberFormat="1" applyFont="1" applyFill="1" applyBorder="1" applyAlignment="1">
      <alignment horizontal="center" vertical="center"/>
    </xf>
    <xf numFmtId="0" fontId="11" fillId="25" borderId="35" xfId="0" applyFont="1" applyFill="1" applyBorder="1"/>
    <xf numFmtId="166" fontId="3" fillId="25" borderId="39" xfId="0" applyNumberFormat="1" applyFont="1" applyFill="1" applyBorder="1" applyAlignment="1">
      <alignment horizontal="center" vertical="center"/>
    </xf>
    <xf numFmtId="8" fontId="3" fillId="25" borderId="40" xfId="0" applyNumberFormat="1" applyFont="1" applyFill="1" applyBorder="1" applyAlignment="1">
      <alignment horizontal="center" vertical="center"/>
    </xf>
    <xf numFmtId="0" fontId="3" fillId="25" borderId="41" xfId="0" applyFont="1" applyFill="1" applyBorder="1" applyAlignment="1">
      <alignment horizontal="center"/>
    </xf>
    <xf numFmtId="1" fontId="3" fillId="25" borderId="42" xfId="0" applyNumberFormat="1" applyFont="1" applyFill="1" applyBorder="1" applyAlignment="1">
      <alignment horizontal="center" vertical="center"/>
    </xf>
    <xf numFmtId="8" fontId="3" fillId="25" borderId="41" xfId="0" applyNumberFormat="1" applyFont="1" applyFill="1" applyBorder="1" applyAlignment="1">
      <alignment horizontal="center" vertical="center"/>
    </xf>
    <xf numFmtId="8" fontId="3" fillId="25" borderId="42" xfId="0" applyNumberFormat="1" applyFont="1" applyFill="1" applyBorder="1" applyAlignment="1">
      <alignment horizontal="center" vertical="center"/>
    </xf>
    <xf numFmtId="8" fontId="3" fillId="25" borderId="39" xfId="0" applyNumberFormat="1" applyFont="1" applyFill="1" applyBorder="1" applyAlignment="1">
      <alignment horizontal="center" vertical="center"/>
    </xf>
    <xf numFmtId="0" fontId="3" fillId="25" borderId="39" xfId="0" applyFont="1" applyFill="1" applyBorder="1"/>
    <xf numFmtId="0" fontId="3" fillId="0" borderId="0" xfId="0" applyFont="1" applyAlignment="1">
      <alignment horizontal="left" vertical="center"/>
    </xf>
    <xf numFmtId="166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 wrapText="1"/>
    </xf>
    <xf numFmtId="8" fontId="3" fillId="0" borderId="0" xfId="0" applyNumberFormat="1" applyFont="1" applyAlignment="1">
      <alignment horizontal="center" vertical="center" wrapText="1"/>
    </xf>
    <xf numFmtId="44" fontId="24" fillId="25" borderId="0" xfId="0" applyNumberFormat="1" applyFont="1" applyFill="1"/>
    <xf numFmtId="44" fontId="3" fillId="3" borderId="0" xfId="0" applyNumberFormat="1" applyFont="1" applyFill="1"/>
    <xf numFmtId="0" fontId="13" fillId="36" borderId="0" xfId="0" applyFont="1" applyFill="1"/>
    <xf numFmtId="0" fontId="14" fillId="35" borderId="22" xfId="0" applyFont="1" applyFill="1" applyBorder="1" applyAlignment="1">
      <alignment horizontal="center"/>
    </xf>
    <xf numFmtId="44" fontId="26" fillId="35" borderId="4" xfId="0" applyNumberFormat="1" applyFont="1" applyFill="1" applyBorder="1"/>
    <xf numFmtId="0" fontId="14" fillId="35" borderId="1" xfId="0" applyFont="1" applyFill="1" applyBorder="1"/>
    <xf numFmtId="0" fontId="26" fillId="35" borderId="23" xfId="0" applyFont="1" applyFill="1" applyBorder="1"/>
    <xf numFmtId="0" fontId="15" fillId="35" borderId="1" xfId="0" applyFont="1" applyFill="1" applyBorder="1"/>
    <xf numFmtId="44" fontId="28" fillId="35" borderId="23" xfId="0" applyNumberFormat="1" applyFont="1" applyFill="1" applyBorder="1"/>
    <xf numFmtId="0" fontId="16" fillId="35" borderId="24" xfId="0" applyFont="1" applyFill="1" applyBorder="1" applyAlignment="1">
      <alignment horizontal="center"/>
    </xf>
    <xf numFmtId="44" fontId="27" fillId="35" borderId="5" xfId="0" applyNumberFormat="1" applyFont="1" applyFill="1" applyBorder="1"/>
    <xf numFmtId="0" fontId="16" fillId="35" borderId="2" xfId="0" applyFont="1" applyFill="1" applyBorder="1"/>
    <xf numFmtId="44" fontId="27" fillId="35" borderId="25" xfId="0" applyNumberFormat="1" applyFont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166" fontId="0" fillId="18" borderId="0" xfId="0" applyNumberFormat="1" applyFill="1"/>
    <xf numFmtId="16" fontId="0" fillId="18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31" fillId="0" borderId="0" xfId="0" applyFont="1" applyAlignment="1">
      <alignment wrapText="1"/>
    </xf>
    <xf numFmtId="0" fontId="0" fillId="0" borderId="0" xfId="0" applyAlignment="1">
      <alignment vertical="top" wrapText="1"/>
    </xf>
    <xf numFmtId="0" fontId="31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31" fillId="0" borderId="0" xfId="0" applyFont="1" applyAlignment="1">
      <alignment vertical="top"/>
    </xf>
    <xf numFmtId="166" fontId="2" fillId="18" borderId="0" xfId="0" applyNumberFormat="1" applyFont="1" applyFill="1" applyAlignment="1">
      <alignment horizontal="left" vertical="center"/>
    </xf>
    <xf numFmtId="166" fontId="2" fillId="18" borderId="0" xfId="1" applyNumberFormat="1" applyFont="1" applyFill="1" applyAlignment="1">
      <alignment horizontal="center" vertical="center"/>
    </xf>
    <xf numFmtId="8" fontId="32" fillId="18" borderId="0" xfId="0" applyNumberFormat="1" applyFont="1" applyFill="1" applyAlignment="1">
      <alignment horizontal="left" vertical="center"/>
    </xf>
    <xf numFmtId="166" fontId="32" fillId="18" borderId="0" xfId="1" applyNumberFormat="1" applyFont="1" applyFill="1" applyAlignment="1">
      <alignment horizontal="center" vertical="center"/>
    </xf>
    <xf numFmtId="0" fontId="5" fillId="10" borderId="4" xfId="0" applyFont="1" applyFill="1" applyBorder="1" applyAlignment="1">
      <alignment horizontal="center" vertical="center" textRotation="90"/>
    </xf>
    <xf numFmtId="0" fontId="5" fillId="10" borderId="6" xfId="0" applyFont="1" applyFill="1" applyBorder="1" applyAlignment="1">
      <alignment horizontal="center" vertical="center" textRotation="90"/>
    </xf>
    <xf numFmtId="0" fontId="5" fillId="8" borderId="5" xfId="0" applyFont="1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textRotation="90"/>
    </xf>
    <xf numFmtId="0" fontId="6" fillId="26" borderId="4" xfId="0" applyFont="1" applyFill="1" applyBorder="1" applyAlignment="1">
      <alignment horizontal="center" vertical="center" textRotation="90"/>
    </xf>
    <xf numFmtId="0" fontId="6" fillId="26" borderId="6" xfId="0" applyFont="1" applyFill="1" applyBorder="1" applyAlignment="1">
      <alignment horizontal="center" vertical="center" textRotation="90"/>
    </xf>
    <xf numFmtId="0" fontId="6" fillId="24" borderId="4" xfId="0" applyFont="1" applyFill="1" applyBorder="1" applyAlignment="1">
      <alignment horizontal="center" vertical="center" textRotation="90"/>
    </xf>
    <xf numFmtId="167" fontId="30" fillId="37" borderId="26" xfId="0" applyNumberFormat="1" applyFont="1" applyFill="1" applyBorder="1" applyAlignment="1">
      <alignment horizontal="center"/>
    </xf>
    <xf numFmtId="167" fontId="30" fillId="37" borderId="27" xfId="0" applyNumberFormat="1" applyFont="1" applyFill="1" applyBorder="1" applyAlignment="1">
      <alignment horizontal="center"/>
    </xf>
    <xf numFmtId="167" fontId="30" fillId="37" borderId="28" xfId="0" applyNumberFormat="1" applyFont="1" applyFill="1" applyBorder="1" applyAlignment="1">
      <alignment horizontal="center"/>
    </xf>
    <xf numFmtId="0" fontId="17" fillId="35" borderId="22" xfId="0" applyFont="1" applyFill="1" applyBorder="1" applyAlignment="1">
      <alignment horizontal="center"/>
    </xf>
    <xf numFmtId="0" fontId="17" fillId="35" borderId="4" xfId="0" applyFont="1" applyFill="1" applyBorder="1" applyAlignment="1">
      <alignment horizontal="center"/>
    </xf>
    <xf numFmtId="0" fontId="17" fillId="35" borderId="1" xfId="0" applyFont="1" applyFill="1" applyBorder="1" applyAlignment="1">
      <alignment horizontal="center"/>
    </xf>
    <xf numFmtId="0" fontId="17" fillId="35" borderId="23" xfId="0" applyFont="1" applyFill="1" applyBorder="1" applyAlignment="1">
      <alignment horizontal="center"/>
    </xf>
    <xf numFmtId="0" fontId="29" fillId="37" borderId="19" xfId="0" applyFont="1" applyFill="1" applyBorder="1" applyAlignment="1">
      <alignment horizontal="center"/>
    </xf>
    <xf numFmtId="0" fontId="29" fillId="37" borderId="20" xfId="0" applyFont="1" applyFill="1" applyBorder="1" applyAlignment="1">
      <alignment horizontal="center"/>
    </xf>
    <xf numFmtId="0" fontId="29" fillId="37" borderId="21" xfId="0" applyFont="1" applyFill="1" applyBorder="1" applyAlignment="1">
      <alignment horizontal="center"/>
    </xf>
    <xf numFmtId="0" fontId="2" fillId="25" borderId="30" xfId="0" applyFont="1" applyFill="1" applyBorder="1" applyAlignment="1">
      <alignment horizontal="center" vertical="center"/>
    </xf>
    <xf numFmtId="0" fontId="2" fillId="25" borderId="3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27">
    <dxf>
      <alignment horizontal="general" vertical="bottom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border diagonalUp="0" diagonalDown="0">
        <top style="thin">
          <color theme="1" tint="0.14996795556505021"/>
        </top>
        <bottom style="thin">
          <color theme="1" tint="0.14996795556505021"/>
        </bottom>
        <horizontal style="thin">
          <color theme="1" tint="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dashDotDot">
          <color theme="0"/>
        </right>
        <top style="thin">
          <color theme="1" tint="0.14996795556505021"/>
        </top>
        <bottom style="thin">
          <color theme="1" tint="0.14996795556505021"/>
        </bottom>
        <vertical/>
        <horizontal style="thin">
          <color theme="1" tint="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ashDotDot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top style="thin">
          <color theme="1" tint="0.14996795556505021"/>
        </top>
        <bottom style="thin">
          <color theme="1" tint="0.14996795556505021"/>
        </bottom>
        <horizontal style="thin">
          <color theme="1" tint="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dashDotDot">
          <color theme="0"/>
        </right>
        <top style="thin">
          <color theme="1" tint="0.14996795556505021"/>
        </top>
        <bottom style="thin">
          <color theme="1" tint="0.14996795556505021"/>
        </bottom>
        <vertical/>
        <horizontal style="thin">
          <color theme="1" tint="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ashDotDot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 style="dashDotDot">
          <color theme="0"/>
        </left>
        <right/>
        <top style="thin">
          <color theme="1" tint="0.14996795556505021"/>
        </top>
        <bottom style="thin">
          <color theme="1" tint="0.14996795556505021"/>
        </bottom>
        <vertical/>
        <horizontal style="thin">
          <color theme="1" tint="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dashDotDot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dashDotDot">
          <color theme="0"/>
        </right>
        <top style="thin">
          <color theme="1" tint="0.14996795556505021"/>
        </top>
        <bottom style="thin">
          <color theme="1" tint="0.14996795556505021"/>
        </bottom>
        <vertical/>
        <horizontal style="thin">
          <color theme="1" tint="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ashDotDot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 style="dashDotDot">
          <color theme="0"/>
        </left>
        <right/>
        <top style="thin">
          <color theme="1" tint="0.14996795556505021"/>
        </top>
        <bottom style="thin">
          <color theme="1" tint="0.14996795556505021"/>
        </bottom>
        <vertical/>
        <horizontal style="thin">
          <color theme="1" tint="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dashDotDot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 style="dashDotDot">
          <color theme="0"/>
        </left>
        <right style="dashDotDot">
          <color theme="0"/>
        </right>
        <top style="thin">
          <color theme="1" tint="0.14996795556505021"/>
        </top>
        <bottom style="thin">
          <color theme="1" tint="0.14996795556505021"/>
        </bottom>
        <vertical/>
        <horizontal style="thin">
          <color theme="1" tint="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dashDotDot">
          <color theme="0"/>
        </left>
        <right style="dashDotDot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ddd\ dd/mm/yyyy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top style="thin">
          <color theme="1" tint="0.14996795556505021"/>
        </top>
        <bottom style="thin">
          <color theme="1" tint="0.14996795556505021"/>
        </bottom>
        <horizontal style="thin">
          <color theme="1" tint="0.149967955565050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ddd\ dd/mm/yyyy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</dxf>
    <dxf>
      <border>
        <top style="thin">
          <color theme="1" tint="0.14996795556505021"/>
        </top>
      </border>
    </dxf>
    <dxf>
      <border diagonalUp="0" diagonalDown="0">
        <left style="thin">
          <color theme="1" tint="0.14996795556505021"/>
        </left>
        <right style="thin">
          <color theme="1" tint="0.14996795556505021"/>
        </right>
        <top style="dashDot">
          <color theme="0"/>
        </top>
        <bottom style="thin">
          <color theme="1" tint="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2" formatCode="&quot;£&quot;#,##0.00;[Red]\-&quot;£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numFmt numFmtId="12" formatCode="&quot;£&quot;#,##0.00;[Red]\-&quot;£&quot;#,##0.00"/>
    </dxf>
    <dxf>
      <alignment horizontal="center" vertical="center" textRotation="0" wrapText="0" indent="0" justifyLastLine="0" shrinkToFit="0" readingOrder="0"/>
    </dxf>
    <dxf>
      <numFmt numFmtId="166" formatCode="ddd\ dd/mm/yyyy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£&quot;#,##0.00;[Red]\-&quot;£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£&quot;#,##0.00;[Red]\-&quot;£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£&quot;#,##0.00;[Red]\-&quot;£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£&quot;#,##0.00;[Red]\-&quot;£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£&quot;#,##0.00;[Red]\-&quot;£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£&quot;#,##0.00;[Red]\-&quot;£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£&quot;#,##0.00;[Red]\-&quot;£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£&quot;#,##0.00;[Red]\-&quot;£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£&quot;#,##0.00;[Red]\-&quot;£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£&quot;#,##0.00;[Red]\-&quot;£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£&quot;#,##0.00;[Red]\-&quot;£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ddd\ 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£&quot;#,##0.00;[Red]\-&quot;£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12" formatCode="&quot;£&quot;#,##0.00;[Red]\-&quot;£&quot;#,##0.00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 patternType="solid">
          <fgColor theme="4" tint="-0.249977111117893"/>
          <bgColor theme="4" tint="-0.249977111117893"/>
        </patternFill>
      </fill>
    </dxf>
    <dxf>
      <fill>
        <patternFill patternType="solid">
          <fgColor theme="4" tint="-0.249977111117893"/>
          <bgColor rgb="FF336699"/>
        </patternFill>
      </fill>
    </dxf>
    <dxf>
      <font>
        <b/>
        <color theme="0"/>
      </font>
      <fill>
        <patternFill patternType="solid">
          <fgColor rgb="FF002060"/>
          <bgColor rgb="FF003366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rgb="FF0066CC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4"/>
          <bgColor rgb="FF3366CC"/>
        </patternFill>
      </fill>
      <border>
        <vertical style="thin">
          <color theme="0"/>
        </vertical>
        <horizontal style="dashDotDot">
          <color theme="4" tint="0.39994506668294322"/>
        </horizontal>
      </border>
    </dxf>
    <dxf>
      <fill>
        <patternFill patternType="solid">
          <fgColor theme="4" tint="-0.249977111117893"/>
          <bgColor theme="4" tint="-0.249977111117893"/>
        </patternFill>
      </fill>
    </dxf>
    <dxf>
      <fill>
        <gradientFill>
          <stop position="0">
            <color rgb="FFF73F31"/>
          </stop>
          <stop position="1">
            <color rgb="FFAD1307"/>
          </stop>
        </gradientFill>
      </fill>
    </dxf>
    <dxf>
      <font>
        <b/>
        <color theme="0"/>
      </font>
      <fill>
        <patternFill patternType="solid">
          <fgColor theme="4" tint="-0.249977111117893"/>
          <bgColor rgb="FF810E05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rgb="FFF51C0B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rgb="FF580000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</border>
    </dxf>
    <dxf>
      <font>
        <color theme="0"/>
      </font>
      <fill>
        <gradientFill>
          <stop position="0">
            <color rgb="FFF51C0B"/>
          </stop>
          <stop position="1">
            <color rgb="FF810E05"/>
          </stop>
        </gradientFill>
      </fill>
      <border>
        <vertical style="thin">
          <color theme="0" tint="-4.9989318521683403E-2"/>
        </vertical>
        <horizontal style="dashDotDot">
          <color rgb="FFE59E8B"/>
        </horizontal>
      </border>
    </dxf>
  </dxfs>
  <tableStyles count="2" defaultTableStyle="TableStyleMedium2" defaultPivotStyle="PivotStyleLight16">
    <tableStyle name="EXPtab" pivot="0" count="7" xr9:uid="{5FEBAC4F-DBF5-41EF-8D62-A184969758A4}">
      <tableStyleElement type="wholeTable" dxfId="226"/>
      <tableStyleElement type="headerRow" dxfId="225"/>
      <tableStyleElement type="totalRow" dxfId="224"/>
      <tableStyleElement type="firstColumn" dxfId="223"/>
      <tableStyleElement type="lastColumn" dxfId="222"/>
      <tableStyleElement type="firstRowStripe" dxfId="221"/>
      <tableStyleElement type="firstColumnStripe" dxfId="220"/>
    </tableStyle>
    <tableStyle name="INCtab" pivot="0" count="7" xr9:uid="{95C5CD82-23AE-494C-8478-82FB39963599}">
      <tableStyleElement type="wholeTable" dxfId="219"/>
      <tableStyleElement type="headerRow" dxfId="218"/>
      <tableStyleElement type="totalRow" dxfId="217"/>
      <tableStyleElement type="firstColumn" dxfId="216"/>
      <tableStyleElement type="lastColumn" dxfId="215"/>
      <tableStyleElement type="firstRowStripe" dxfId="214"/>
      <tableStyleElement type="firstColumnStripe" dxfId="213"/>
    </tableStyle>
  </tableStyles>
  <colors>
    <mruColors>
      <color rgb="FFFF5050"/>
      <color rgb="FF003300"/>
      <color rgb="FFCCCC00"/>
      <color rgb="FFCCFF33"/>
      <color rgb="FFCCFF66"/>
      <color rgb="FFFF0000"/>
      <color rgb="FF0066CC"/>
      <color rgb="FF003399"/>
      <color rgb="FF003366"/>
      <color rgb="FF33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E9" lockText="1" noThreeD="1"/>
</file>

<file path=xl/ctrlProps/ctrlProp2.xml><?xml version="1.0" encoding="utf-8"?>
<formControlPr xmlns="http://schemas.microsoft.com/office/spreadsheetml/2009/9/main" objectType="CheckBox" fmlaLink="E10" lockText="1" noThreeD="1"/>
</file>

<file path=xl/ctrlProps/ctrlProp3.xml><?xml version="1.0" encoding="utf-8"?>
<formControlPr xmlns="http://schemas.microsoft.com/office/spreadsheetml/2009/9/main" objectType="CheckBox" fmlaLink="E11" lockText="1" noThreeD="1"/>
</file>

<file path=xl/ctrlProps/ctrlProp4.xml><?xml version="1.0" encoding="utf-8"?>
<formControlPr xmlns="http://schemas.microsoft.com/office/spreadsheetml/2009/9/main" objectType="CheckBox" fmlaLink="E12" lockText="1" noThreeD="1"/>
</file>

<file path=xl/ctrlProps/ctrlProp5.xml><?xml version="1.0" encoding="utf-8"?>
<formControlPr xmlns="http://schemas.microsoft.com/office/spreadsheetml/2009/9/main" objectType="CheckBox" fmlaLink="E13" lockText="1" noThreeD="1"/>
</file>

<file path=xl/ctrlProps/ctrlProp6.xml><?xml version="1.0" encoding="utf-8"?>
<formControlPr xmlns="http://schemas.microsoft.com/office/spreadsheetml/2009/9/main" objectType="CheckBox" fmlaLink="E14" lockText="1" noThreeD="1"/>
</file>

<file path=xl/ctrlProps/ctrlProp7.xml><?xml version="1.0" encoding="utf-8"?>
<formControlPr xmlns="http://schemas.microsoft.com/office/spreadsheetml/2009/9/main" objectType="CheckBox" fmlaLink="E17" lockText="1" noThreeD="1"/>
</file>

<file path=xl/ctrlProps/ctrlProp8.xml><?xml version="1.0" encoding="utf-8"?>
<formControlPr xmlns="http://schemas.microsoft.com/office/spreadsheetml/2009/9/main" objectType="CheckBox" fmlaLink="E18" lockText="1" noThreeD="1"/>
</file>

<file path=xl/ctrlProps/ctrlProp9.xml><?xml version="1.0" encoding="utf-8"?>
<formControlPr xmlns="http://schemas.microsoft.com/office/spreadsheetml/2009/9/main" objectType="CheckBox" fmlaLink="I9" lockText="1" noThreeD="1"/>
</file>

<file path=xl/ctrlProps/ctrlProp10.xml><?xml version="1.0" encoding="utf-8"?>
<formControlPr xmlns="http://schemas.microsoft.com/office/spreadsheetml/2009/9/main" objectType="CheckBox" fmlaLink="I10" lockText="1" noThreeD="1"/>
</file>

<file path=xl/ctrlProps/ctrlProp11.xml><?xml version="1.0" encoding="utf-8"?>
<formControlPr xmlns="http://schemas.microsoft.com/office/spreadsheetml/2009/9/main" objectType="CheckBox" fmlaLink="I11" lockText="1" noThreeD="1"/>
</file>

<file path=xl/ctrlProps/ctrlProp12.xml><?xml version="1.0" encoding="utf-8"?>
<formControlPr xmlns="http://schemas.microsoft.com/office/spreadsheetml/2009/9/main" objectType="CheckBox" fmlaLink="I12" lockText="1" noThreeD="1"/>
</file>

<file path=xl/ctrlProps/ctrlProp13.xml><?xml version="1.0" encoding="utf-8"?>
<formControlPr xmlns="http://schemas.microsoft.com/office/spreadsheetml/2009/9/main" objectType="CheckBox" fmlaLink="I13" lockText="1" noThreeD="1"/>
</file>

<file path=xl/ctrlProps/ctrlProp14.xml><?xml version="1.0" encoding="utf-8"?>
<formControlPr xmlns="http://schemas.microsoft.com/office/spreadsheetml/2009/9/main" objectType="CheckBox" fmlaLink="I14" lockText="1" noThreeD="1"/>
</file>

<file path=xl/ctrlProps/ctrlProp15.xml><?xml version="1.0" encoding="utf-8"?>
<formControlPr xmlns="http://schemas.microsoft.com/office/spreadsheetml/2009/9/main" objectType="CheckBox" fmlaLink="I17" lockText="1" noThreeD="1"/>
</file>

<file path=xl/ctrlProps/ctrlProp16.xml><?xml version="1.0" encoding="utf-8"?>
<formControlPr xmlns="http://schemas.microsoft.com/office/spreadsheetml/2009/9/main" objectType="CheckBox" fmlaLink="I1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7</xdr:row>
          <xdr:rowOff>180975</xdr:rowOff>
        </xdr:from>
        <xdr:to>
          <xdr:col>4</xdr:col>
          <xdr:colOff>514350</xdr:colOff>
          <xdr:row>9</xdr:row>
          <xdr:rowOff>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8</xdr:row>
          <xdr:rowOff>180975</xdr:rowOff>
        </xdr:from>
        <xdr:to>
          <xdr:col>4</xdr:col>
          <xdr:colOff>514350</xdr:colOff>
          <xdr:row>10</xdr:row>
          <xdr:rowOff>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9</xdr:row>
          <xdr:rowOff>180975</xdr:rowOff>
        </xdr:from>
        <xdr:to>
          <xdr:col>4</xdr:col>
          <xdr:colOff>514350</xdr:colOff>
          <xdr:row>11</xdr:row>
          <xdr:rowOff>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180975</xdr:rowOff>
        </xdr:from>
        <xdr:to>
          <xdr:col>4</xdr:col>
          <xdr:colOff>514350</xdr:colOff>
          <xdr:row>12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11</xdr:row>
          <xdr:rowOff>180975</xdr:rowOff>
        </xdr:from>
        <xdr:to>
          <xdr:col>4</xdr:col>
          <xdr:colOff>514350</xdr:colOff>
          <xdr:row>13</xdr:row>
          <xdr:rowOff>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12</xdr:row>
          <xdr:rowOff>180975</xdr:rowOff>
        </xdr:from>
        <xdr:to>
          <xdr:col>4</xdr:col>
          <xdr:colOff>514350</xdr:colOff>
          <xdr:row>14</xdr:row>
          <xdr:rowOff>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180975</xdr:rowOff>
        </xdr:from>
        <xdr:to>
          <xdr:col>4</xdr:col>
          <xdr:colOff>514350</xdr:colOff>
          <xdr:row>17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16</xdr:row>
          <xdr:rowOff>180975</xdr:rowOff>
        </xdr:from>
        <xdr:to>
          <xdr:col>4</xdr:col>
          <xdr:colOff>514350</xdr:colOff>
          <xdr:row>18</xdr:row>
          <xdr:rowOff>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7</xdr:row>
          <xdr:rowOff>180975</xdr:rowOff>
        </xdr:from>
        <xdr:to>
          <xdr:col>8</xdr:col>
          <xdr:colOff>514350</xdr:colOff>
          <xdr:row>9</xdr:row>
          <xdr:rowOff>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8</xdr:row>
          <xdr:rowOff>180975</xdr:rowOff>
        </xdr:from>
        <xdr:to>
          <xdr:col>8</xdr:col>
          <xdr:colOff>514350</xdr:colOff>
          <xdr:row>10</xdr:row>
          <xdr:rowOff>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9</xdr:row>
          <xdr:rowOff>180975</xdr:rowOff>
        </xdr:from>
        <xdr:to>
          <xdr:col>8</xdr:col>
          <xdr:colOff>514350</xdr:colOff>
          <xdr:row>11</xdr:row>
          <xdr:rowOff>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180975</xdr:rowOff>
        </xdr:from>
        <xdr:to>
          <xdr:col>8</xdr:col>
          <xdr:colOff>514350</xdr:colOff>
          <xdr:row>12</xdr:row>
          <xdr:rowOff>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11</xdr:row>
          <xdr:rowOff>180975</xdr:rowOff>
        </xdr:from>
        <xdr:to>
          <xdr:col>8</xdr:col>
          <xdr:colOff>514350</xdr:colOff>
          <xdr:row>13</xdr:row>
          <xdr:rowOff>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12</xdr:row>
          <xdr:rowOff>180975</xdr:rowOff>
        </xdr:from>
        <xdr:to>
          <xdr:col>8</xdr:col>
          <xdr:colOff>514350</xdr:colOff>
          <xdr:row>14</xdr:row>
          <xdr:rowOff>0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15</xdr:row>
          <xdr:rowOff>180975</xdr:rowOff>
        </xdr:from>
        <xdr:to>
          <xdr:col>8</xdr:col>
          <xdr:colOff>514350</xdr:colOff>
          <xdr:row>17</xdr:row>
          <xdr:rowOff>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16</xdr:row>
          <xdr:rowOff>180975</xdr:rowOff>
        </xdr:from>
        <xdr:to>
          <xdr:col>8</xdr:col>
          <xdr:colOff>514350</xdr:colOff>
          <xdr:row>18</xdr:row>
          <xdr:rowOff>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926B7F-D32C-4563-9834-F583F91F5DF1}" name="CURcred" displayName="CURcred" ref="F8:G10" totalsRowCount="1" headerRowDxfId="212" dataDxfId="211" totalsRowDxfId="210">
  <autoFilter ref="F8:G9" xr:uid="{2E0E68DD-C031-4896-91E9-F5961ABADD1A}"/>
  <tableColumns count="2">
    <tableColumn id="1" xr3:uid="{ADCDE215-A076-4B56-8BA1-AA5D03DD3D2A}" name="Card / Institution" totalsRowLabel="Total" dataDxfId="209" totalsRowDxfId="208"/>
    <tableColumn id="2" xr3:uid="{5DC410E2-61B3-4221-8F25-AE94563B44BC}" name="Amount" totalsRowFunction="sum" dataDxfId="207" totalsRowDxfId="206"/>
  </tableColumns>
  <tableStyleInfo name="EXP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5309D26-5D91-4824-AAAC-209CA7F2EA64}" name="CURsave" displayName="CURsave" ref="C8:D10" totalsRowCount="1" headerRowDxfId="205" dataDxfId="204" totalsRowDxfId="203">
  <autoFilter ref="C8:D9" xr:uid="{5EDE2AA2-F496-4B88-9B44-937A2DA2B881}"/>
  <tableColumns count="2">
    <tableColumn id="1" xr3:uid="{EA707790-91BD-4857-B50F-96BCE14B06FC}" name="Bank" totalsRowLabel="Total" dataDxfId="202" totalsRowDxfId="201"/>
    <tableColumn id="2" xr3:uid="{481F2758-194B-4CD6-B7D3-2D6A3E165984}" name="Amount" totalsRowFunction="sum" dataDxfId="200" totalsRowDxfId="199"/>
  </tableColumns>
  <tableStyleInfo name="INCtab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D4CC04E-395C-40F5-A190-8F683CFCA9A0}" name="INCann" displayName="INCann" ref="B4:K6" totalsRowCount="1">
  <autoFilter ref="B4:K5" xr:uid="{1D7009A8-E6C8-45DD-BF8A-BF3F89366222}"/>
  <tableColumns count="10">
    <tableColumn id="1" xr3:uid="{E08E1A5D-A9EA-49EE-9496-49DC248180A0}" name="Item" totalsRowLabel="Total" totalsRowDxfId="198"/>
    <tableColumn id="2" xr3:uid="{BFC58699-37B0-46B3-9337-909AF31B55B8}" name="Amount" totalsRowFunction="sum" dataDxfId="197" totalsRowDxfId="196"/>
    <tableColumn id="3" xr3:uid="{C25ED648-A41F-4AB6-9619-5F530FC2B698}" name="PAY DATE" dataDxfId="195" totalsRowDxfId="194"/>
    <tableColumn id="4" xr3:uid="{A661F4DB-468B-42EB-9D3E-62C3FA31172D}" name="Bank Days Only" dataDxfId="193" totalsRowDxfId="192"/>
    <tableColumn id="5" xr3:uid="{3BA8ABF8-92A3-4111-B75F-C0BAD2D891F0}" name="Start Date" dataDxfId="191" totalsRowDxfId="190"/>
    <tableColumn id="6" xr3:uid="{67478690-6D3A-40E7-A14B-62E91621984D}" name="End Date" dataDxfId="189" totalsRowDxfId="188"/>
    <tableColumn id="7" xr3:uid="{D68CA7FB-615A-4ED5-BB1B-EBD19A476140}" name="NEXT DUE" dataDxfId="187" totalsRowDxfId="186">
      <calculatedColumnFormula>NextDate(CalcDate,INCann[[#This Row],[Start Date]],INCann[[#This Row],[End Date]],"A")</calculatedColumnFormula>
    </tableColumn>
    <tableColumn id="8" xr3:uid="{79D063B2-FAB3-419C-A0FD-16520CAF3062}" name="REQUIRED" totalsRowFunction="sum" dataDxfId="185" totalsRowDxfId="184">
      <calculatedColumnFormula>Annual(INCann[[#This Row],[Amount]],CalcDate,INCann[[#This Row],[NEXT DUE]])</calculatedColumnFormula>
    </tableColumn>
    <tableColumn id="9" xr3:uid="{93A63CE7-2537-4253-ACC3-17216B0EFB80}" name="RATE/DAY" totalsRowFunction="sum" dataDxfId="183" totalsRowDxfId="182">
      <calculatedColumnFormula>INCann[[#This Row],[Amount]]/365</calculatedColumnFormula>
    </tableColumn>
    <tableColumn id="10" xr3:uid="{BC56FFB8-336C-4BE9-B728-8E14799EE476}" name="PROJECTED" totalsRowFunction="sum" dataDxfId="181" totalsRowDxfId="180">
      <calculatedColumnFormula>ProjAnn(INCann[[#This Row],[Amount]],INCann[[#This Row],[Start Date]],INCann[[#This Row],[End Date]],CalcDate,ProjDate)</calculatedColumnFormula>
    </tableColumn>
  </tableColumns>
  <tableStyleInfo name="INCtab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18B5ED2-87DF-42AE-A7DE-68665E634E36}" name="INCmon" displayName="INCmon" ref="B8:K10" totalsRowCount="1">
  <autoFilter ref="B8:K9" xr:uid="{8BFB32DC-0354-4FB6-A576-1D4778B104FB}"/>
  <tableColumns count="10">
    <tableColumn id="1" xr3:uid="{121124F7-10EB-4362-A627-091ADA7D0273}" name="Item" totalsRowLabel="Total" totalsRowDxfId="179"/>
    <tableColumn id="2" xr3:uid="{C0FF4D9B-6601-4FA8-9E41-1A4685F54667}" name="Amount" totalsRowFunction="sum" totalsRowDxfId="178"/>
    <tableColumn id="3" xr3:uid="{54ED187B-6460-42D6-9824-727D68867481}" name="Day of Month" totalsRowDxfId="177"/>
    <tableColumn id="4" xr3:uid="{24398156-65B4-4B70-B62D-529A74F1C185}" name="Bank Days Only" totalsRowDxfId="176"/>
    <tableColumn id="5" xr3:uid="{0DEC7CA4-A619-45C6-96D8-9C0C5197B937}" name="Start Date" totalsRowDxfId="175"/>
    <tableColumn id="6" xr3:uid="{D36367D7-DFEB-4100-997D-300589A0C376}" name="End Date" totalsRowDxfId="174"/>
    <tableColumn id="7" xr3:uid="{EF08C17F-CD16-432B-97F8-91F9536CB8F0}" name="NEXT DUE" totalsRowDxfId="173">
      <calculatedColumnFormula>NextDate(CalcDate,INCmon[[#This Row],[Start Date]],INCmon[[#This Row],[End Date]],"M",INCmon[[#This Row],[Day of Month]])</calculatedColumnFormula>
    </tableColumn>
    <tableColumn id="8" xr3:uid="{FA361990-3310-4027-9F71-0CED46E83DC2}" name="REQUIRED" totalsRowFunction="sum" totalsRowDxfId="172">
      <calculatedColumnFormula>Monthly(INCmon[[#This Row],[Amount]],INCmon[[#This Row],[Day of Month]],CalcDate,INCmon[[#This Row],[NEXT DUE]])</calculatedColumnFormula>
    </tableColumn>
    <tableColumn id="9" xr3:uid="{E80EF881-1687-4673-9702-67F8DA9D32F7}" name="RATE/DAY" totalsRowFunction="sum" totalsRowDxfId="171">
      <calculatedColumnFormula>INCmon[[#This Row],[Amount]]*12/365</calculatedColumnFormula>
    </tableColumn>
    <tableColumn id="10" xr3:uid="{AEA676C8-4DEC-486E-91D3-991F648AEDAF}" name="PROJECTED" totalsRowFunction="sum" totalsRowDxfId="170">
      <calculatedColumnFormula>ProjMon(INCmon[[#This Row],[Amount]],INCmon[[#This Row],[Day of Month]],INCmon[[#This Row],[Start Date]],INCmon[[#This Row],[End Date]],CalcDate,ProjDate)</calculatedColumnFormula>
    </tableColumn>
  </tableColumns>
  <tableStyleInfo name="INCtab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921DC6B-F1A6-489C-9A41-F3DA078D993F}" name="INCbi" displayName="INCbi" ref="B12:K14" totalsRowCount="1">
  <autoFilter ref="B12:K13" xr:uid="{FB2743F2-DF9E-4FFB-926E-743595AF77DD}"/>
  <tableColumns count="10">
    <tableColumn id="1" xr3:uid="{F4FFCC14-AFE5-4F14-93CB-B258E0D4FAEB}" name="Item" totalsRowLabel="Total" totalsRowDxfId="169"/>
    <tableColumn id="2" xr3:uid="{7C2B1046-DB75-4D58-B73F-E274D800A0B9}" name="Amount" totalsRowFunction="sum" totalsRowDxfId="168"/>
    <tableColumn id="3" xr3:uid="{EF90DE4D-3014-484D-B7B0-B240801127D8}" name="Day of Week" totalsRowDxfId="167"/>
    <tableColumn id="4" xr3:uid="{25168F31-94B3-4639-92A4-87FA7D6A28B6}" name="Bank Days Only" totalsRowDxfId="166"/>
    <tableColumn id="5" xr3:uid="{A71FD832-B639-4AF3-94A7-558A4990B06D}" name="Start Date" totalsRowDxfId="165"/>
    <tableColumn id="6" xr3:uid="{194716FF-D6C3-450E-A0D5-2AD8FB065269}" name="End Date" totalsRowDxfId="164"/>
    <tableColumn id="7" xr3:uid="{E62D4C6D-5F69-4160-8E3F-F4823D08CA20}" name="NEXT DUE" totalsRowDxfId="163">
      <calculatedColumnFormula>NextDate(CalcDate,INCbi[[#This Row],[Start Date]],INCbi[[#This Row],[End Date]],"B",INCbi[[#This Row],[Day of Week]])</calculatedColumnFormula>
    </tableColumn>
    <tableColumn id="8" xr3:uid="{A8CC36F5-3998-444D-B9DB-9523B6C3F70C}" name="REQUIRED" totalsRowFunction="sum" totalsRowDxfId="162">
      <calculatedColumnFormula>BiWeekly(INCbi[[#This Row],[Amount]],INCbi[[#This Row],[Day of Week]],CalcDate,INCbi[[#This Row],[NEXT DUE]])</calculatedColumnFormula>
    </tableColumn>
    <tableColumn id="9" xr3:uid="{A8DB48CB-97A2-4F05-B4E2-3195016A0D92}" name="RATE/DAY" totalsRowFunction="sum" totalsRowDxfId="161">
      <calculatedColumnFormula>INCbi[[#This Row],[Amount]]/14</calculatedColumnFormula>
    </tableColumn>
    <tableColumn id="10" xr3:uid="{3BEF19D6-FD9D-40E6-AD3A-9B97D912DB5A}" name="PROJECTED" totalsRowFunction="sum" totalsRowDxfId="160">
      <calculatedColumnFormula>ProjBi(INCbi[[#This Row],[Amount]],INCbi[[#This Row],[Day of Week]],INCbi[[#This Row],[Start Date]],INCbi[[#This Row],[End Date]],CalcDate,ProjDate)</calculatedColumnFormula>
    </tableColumn>
  </tableColumns>
  <tableStyleInfo name="INCtab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2FC2D70-FA2D-4906-8D4F-22D503F0589C}" name="INCwk" displayName="INCwk" ref="B16:K19" totalsRowCount="1">
  <autoFilter ref="B16:K18" xr:uid="{6AD706A6-A06E-4EE9-ABDF-7538E80202D1}"/>
  <tableColumns count="10">
    <tableColumn id="1" xr3:uid="{A7123212-20D8-4C41-B4E0-EEFBCBE71D0E}" name="Item" totalsRowLabel="Total" totalsRowDxfId="159"/>
    <tableColumn id="2" xr3:uid="{76F1C8EB-8994-460F-8B05-0E7FF30EE8E2}" name="Amount" totalsRowFunction="sum" totalsRowDxfId="158"/>
    <tableColumn id="3" xr3:uid="{297E3641-2AE1-46B2-907F-E7B5D865067E}" name="Day of Week" totalsRowDxfId="157"/>
    <tableColumn id="4" xr3:uid="{3F373D26-AD69-4DF7-B0D9-07BDAA35391B}" name="Bank Days Only" totalsRowDxfId="156"/>
    <tableColumn id="5" xr3:uid="{3F0887A9-C250-4413-B3B4-BE03D532D0FD}" name="Start Date" totalsRowDxfId="155"/>
    <tableColumn id="6" xr3:uid="{3606DE76-92EA-44E0-808B-071E52EAB9CF}" name="End Date" totalsRowDxfId="154"/>
    <tableColumn id="7" xr3:uid="{88A31FEA-B9B3-408C-9379-EF6C2B4B9F23}" name="NEXT DUE" dataDxfId="153" totalsRowDxfId="152">
      <calculatedColumnFormula>NextDate(CalcDate,INCwk[[#This Row],[Start Date]],INCwk[[#This Row],[End Date]],"w",INCwk[[#This Row],[Day of Week]])</calculatedColumnFormula>
    </tableColumn>
    <tableColumn id="8" xr3:uid="{8A250172-905F-4094-8304-F57E18381E4D}" name="REQUIRED" totalsRowFunction="sum" dataDxfId="151" totalsRowDxfId="150">
      <calculatedColumnFormula>Weekly(INCwk[[#This Row],[Amount]],INCwk[[#This Row],[Day of Week]],CalcDate,INCwk[[#This Row],[NEXT DUE]])</calculatedColumnFormula>
    </tableColumn>
    <tableColumn id="9" xr3:uid="{AD9D3DAD-162F-418F-99D0-6E412E8553CF}" name="RATE/DAY" totalsRowFunction="sum" dataDxfId="149" totalsRowDxfId="148">
      <calculatedColumnFormula>INCwk[[#This Row],[Amount]]/7</calculatedColumnFormula>
    </tableColumn>
    <tableColumn id="10" xr3:uid="{7C1164D1-B819-4625-AEDA-95505A484CF8}" name="PROJECTED" totalsRowFunction="sum" dataDxfId="147" totalsRowDxfId="146">
      <calculatedColumnFormula>ProjWk(INCwk[[#This Row],[Amount]],INCwk[[#This Row],[Day of Week]],INCwk[[#This Row],[Start Date]],INCwk[[#This Row],[End Date]],CalcDate,ProjDate)</calculatedColumnFormula>
    </tableColumn>
  </tableColumns>
  <tableStyleInfo name="INCtab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F0CFACE-2D02-40A8-AC85-4E867141B1E6}" name="INCterm" displayName="INCterm" ref="B21:K23" totalsRowCount="1">
  <autoFilter ref="B21:K22" xr:uid="{1D75E2E8-1AC1-4F0C-9C38-54F98C9F5A89}"/>
  <tableColumns count="10">
    <tableColumn id="1" xr3:uid="{E91F0BA1-98CB-49FB-92AC-B06FCB882610}" name="Item" totalsRowLabel="Total"/>
    <tableColumn id="2" xr3:uid="{7BF639C0-3837-4F66-B1AB-3BB08717098E}" name="Amount" totalsRowFunction="sum" totalsRowDxfId="145"/>
    <tableColumn id="3" xr3:uid="{F14D7B15-2A67-45BD-A396-6334664C2F42}" name="Day of Week"/>
    <tableColumn id="4" xr3:uid="{134ED97B-95E2-4CAF-ADC3-4D9A10C4250F}" name="Period (Term/Days)"/>
    <tableColumn id="5" xr3:uid="{D299CF54-9C25-4F2A-AEBF-E108E6C109D7}" name="Start Date"/>
    <tableColumn id="6" xr3:uid="{B068E693-3672-4559-A5FC-7D53F35DED91}" name="End Date"/>
    <tableColumn id="7" xr3:uid="{53EE8C26-25D6-4835-AFB5-436411886E22}" name="NEXT DUE"/>
    <tableColumn id="8" xr3:uid="{3808C3B8-FBF5-4D2B-AC15-C3D205C03040}" name="REQUIRED" totalsRowFunction="sum" totalsRowDxfId="144"/>
    <tableColumn id="9" xr3:uid="{F119FB9F-767B-444E-8E09-1A10C9475220}" name="RATE/DAY" totalsRowFunction="sum" totalsRowDxfId="143"/>
    <tableColumn id="10" xr3:uid="{C1F42BEB-EFCC-468C-866B-D3BB18773CF0}" name="PROJECTED" totalsRowFunction="sum" totalsRowDxfId="142"/>
  </tableColumns>
  <tableStyleInfo name="INCtab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E700389-EF1B-405B-BEBB-F742CE1304B4}" name="INCreg" displayName="INCreg" ref="B25:K27" totalsRowCount="1">
  <autoFilter ref="B25:K26" xr:uid="{CFA7F66A-FF6B-4708-B93E-20AC7B7DFF34}"/>
  <tableColumns count="10">
    <tableColumn id="1" xr3:uid="{6CDCF13F-ACEA-4A27-AE10-F50A799F7339}" name="Item" totalsRowLabel="Total" totalsRowDxfId="141"/>
    <tableColumn id="2" xr3:uid="{2526099B-E98E-4C53-9E5B-D60BAFB5117E}" name="Amount" totalsRowFunction="sum" totalsRowDxfId="140"/>
    <tableColumn id="3" xr3:uid="{D9770897-49BB-4B1E-AD28-19F5B9CF7A13}" name="Period (Days)" totalsRowDxfId="139"/>
    <tableColumn id="4" xr3:uid="{A87CE8BC-899E-4D0E-B867-558F57A686D4}" name="Bank Days Only" totalsRowDxfId="138"/>
    <tableColumn id="5" xr3:uid="{12C846B0-2E4D-476B-BC1C-1FDFA63A2C1F}" name="Start Date" totalsRowDxfId="137"/>
    <tableColumn id="6" xr3:uid="{54D9C5F8-0699-4DB0-9C60-C60A0772DC7C}" name="End Date" totalsRowDxfId="136"/>
    <tableColumn id="7" xr3:uid="{0927E07E-B726-4388-B9CB-CA396F9FF07E}" name="NEXT DUE" totalsRowDxfId="135">
      <calculatedColumnFormula>NextDate(CalcDate,INCreg[[#This Row],[Start Date]],INCreg[[#This Row],[End Date]],INCreg[[#This Row],[Period (Days)]])</calculatedColumnFormula>
    </tableColumn>
    <tableColumn id="8" xr3:uid="{C8BE3D7A-01D0-4EDB-8BE1-AD62BD210667}" name="REQUIRED" totalsRowFunction="sum" totalsRowDxfId="134">
      <calculatedColumnFormula>Regular(INCreg[[#This Row],[Amount]],INCreg[[#This Row],[Period (Days)]],CalcDate,INCreg[[#This Row],[NEXT DUE]])</calculatedColumnFormula>
    </tableColumn>
    <tableColumn id="9" xr3:uid="{CCA9131F-9EDB-4945-AD8D-4A1B9942A3A0}" name="RATE/DAY" totalsRowFunction="sum" totalsRowDxfId="133">
      <calculatedColumnFormula>INCreg[[#This Row],[Amount]]/INCreg[[#This Row],[Period (Days)]]</calculatedColumnFormula>
    </tableColumn>
    <tableColumn id="10" xr3:uid="{85217766-C4E9-49A9-AEA7-46762444E00E}" name="PROJECTED" totalsRowFunction="sum" totalsRowDxfId="132">
      <calculatedColumnFormula>ProjReg(INCreg[[#This Row],[Amount]],INCreg[[#This Row],[Period (Days)]],INCreg[[#This Row],[Start Date]],INCreg[[#This Row],[End Date]],CalcDate,ProjDate)</calculatedColumnFormula>
    </tableColumn>
  </tableColumns>
  <tableStyleInfo name="INCtab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31F7CC-9B0A-400B-9882-36B816074C29}" name="EXPann" displayName="EXPann" ref="B3:K7" totalsRowCount="1" headerRowDxfId="131">
  <autoFilter ref="B3:K6" xr:uid="{8A496937-9EF7-4683-8BCD-9DAE9ECE4306}"/>
  <tableColumns count="10">
    <tableColumn id="1" xr3:uid="{895A0859-422F-494D-8B98-C04A8743FD71}" name="Item" totalsRowLabel="Total" totalsRowDxfId="130"/>
    <tableColumn id="2" xr3:uid="{0459671C-35EB-49ED-8370-26020B00393F}" name="Amount" totalsRowFunction="sum" totalsRowDxfId="129"/>
    <tableColumn id="3" xr3:uid="{6623008F-D164-4895-82EB-D0D6650DB196}" name="PAY DATE" totalsRowDxfId="128">
      <calculatedColumnFormula>F4</calculatedColumnFormula>
    </tableColumn>
    <tableColumn id="4" xr3:uid="{C50211BF-BC94-4A0C-915B-D6183D4B41E8}" name="Bank Days Only" totalsRowDxfId="127"/>
    <tableColumn id="5" xr3:uid="{592EEE28-73DF-4A22-B5B6-67C1D54F9060}" name="Start Date" totalsRowDxfId="126"/>
    <tableColumn id="6" xr3:uid="{3362CE5C-B926-469C-8949-F541772350B7}" name="End Date" totalsRowDxfId="125"/>
    <tableColumn id="7" xr3:uid="{838FAB36-3739-4746-A09E-35FE529D098D}" name="NEXT DUE" totalsRowDxfId="124">
      <calculatedColumnFormula>NextDate(CalcDate,EXPann[[#This Row],[Start Date]],EXPann[[#This Row],[End Date]],"A")</calculatedColumnFormula>
    </tableColumn>
    <tableColumn id="8" xr3:uid="{C834001F-C5E3-4E29-A286-6A4EDD29D807}" name="REQUIRED" totalsRowFunction="sum" totalsRowDxfId="123">
      <calculatedColumnFormula>Annual(EXPann[[#This Row],[Amount]],CalcDate,EXPann[[#This Row],[NEXT DUE]])</calculatedColumnFormula>
    </tableColumn>
    <tableColumn id="9" xr3:uid="{47F020E5-8ADF-42A9-B5FB-22AA6EFDE528}" name="RATE/DAY" totalsRowFunction="sum" totalsRowDxfId="122">
      <calculatedColumnFormula>EXPann[[#This Row],[Amount]]/365</calculatedColumnFormula>
    </tableColumn>
    <tableColumn id="10" xr3:uid="{FCA75E6D-2099-49D4-AF70-72E2BEEA9D1D}" name="PROJECTED" totalsRowFunction="sum" totalsRowDxfId="121">
      <calculatedColumnFormula>ProjAnn(EXPann[[#This Row],[Amount]],EXPann[[#This Row],[Start Date]],EXPann[[#This Row],[End Date]],CalcDate,ProjDate)</calculatedColumnFormula>
    </tableColumn>
  </tableColumns>
  <tableStyleInfo name="EXPtab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3E650E-5E8C-4DA8-9FA6-A67870749ADF}" name="EXPmon" displayName="EXPmon" ref="B9:K16" totalsRowCount="1" headerRowDxfId="120">
  <autoFilter ref="B9:K15" xr:uid="{9140D690-3A92-454B-875E-F9C1650FF068}"/>
  <tableColumns count="10">
    <tableColumn id="1" xr3:uid="{CFF3EAE3-1D35-4C64-AEA7-BD2B155CCC2C}" name="Item" totalsRowLabel="Total" totalsRowDxfId="119"/>
    <tableColumn id="2" xr3:uid="{F21C1C8E-0809-461C-A3E2-BA59F6FE9E6A}" name="Amount" totalsRowFunction="sum" totalsRowDxfId="118"/>
    <tableColumn id="3" xr3:uid="{FA247A41-9767-4612-8AD3-BDF399686BA7}" name="Day of Month" totalsRowDxfId="117"/>
    <tableColumn id="4" xr3:uid="{B301EC18-BA63-4BFF-A694-E4DA145F4E0F}" name="Bank Days Only" totalsRowDxfId="116"/>
    <tableColumn id="5" xr3:uid="{948CC3E1-4AB8-4CC8-8C11-B7E0B2A67386}" name="Start Date" totalsRowDxfId="115"/>
    <tableColumn id="6" xr3:uid="{0FC6D122-E00F-44B3-9194-692995CB105C}" name="End Date" totalsRowDxfId="114"/>
    <tableColumn id="7" xr3:uid="{210FA596-E41C-4944-9C8B-6D03E09C7479}" name="NEXT DUE" totalsRowDxfId="113">
      <calculatedColumnFormula>NextDate(CalcDate,EXPmon[[#This Row],[Start Date]],EXPmon[[#This Row],[End Date]],"M",EXPmon[[#This Row],[Day of Month]])</calculatedColumnFormula>
    </tableColumn>
    <tableColumn id="8" xr3:uid="{7E8CB026-CD70-427D-853D-C3EFAEE51787}" name="REQUIRED" totalsRowFunction="sum" totalsRowDxfId="112">
      <calculatedColumnFormula>Monthly(EXPmon[[#This Row],[Amount]],EXPmon[[#This Row],[Day of Month]],CalcDate,EXPmon[[#This Row],[NEXT DUE]])</calculatedColumnFormula>
    </tableColumn>
    <tableColumn id="9" xr3:uid="{73534CB0-3B9E-4C18-9945-26D96B724409}" name="RATE/DAY" totalsRowFunction="sum" totalsRowDxfId="111">
      <calculatedColumnFormula>EXPmon[[#This Row],[Amount]]*12/365</calculatedColumnFormula>
    </tableColumn>
    <tableColumn id="10" xr3:uid="{76D3F4C6-3A7A-4F9C-8A91-2F6B09E20573}" name="PROJECTED" totalsRowFunction="sum" totalsRowDxfId="110">
      <calculatedColumnFormula>ProjMon(EXPmon[[#This Row],[Amount]],EXPmon[[#This Row],[Day of Month]],EXPmon[[#This Row],[Start Date]],EXPmon[[#This Row],[End Date]],CalcDate,ProjDate)</calculatedColumnFormula>
    </tableColumn>
  </tableColumns>
  <tableStyleInfo name="EXPtab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444545-65D8-40BC-A997-B89CF6505EC1}" name="EXPbi" displayName="EXPbi" ref="B18:K20" totalsRowCount="1" headerRowDxfId="109">
  <autoFilter ref="B18:K19" xr:uid="{0651F4CA-7D93-4FEA-9839-0541B7A56186}"/>
  <tableColumns count="10">
    <tableColumn id="1" xr3:uid="{1C114B66-9E28-40A2-A439-190C31512F08}" name="Item" totalsRowLabel="Total" totalsRowDxfId="108"/>
    <tableColumn id="2" xr3:uid="{F321ED11-53F2-4E12-B48C-A6FE2C48C306}" name="Amount" totalsRowFunction="sum" totalsRowDxfId="107"/>
    <tableColumn id="3" xr3:uid="{E7ABB492-5944-4DAB-8C42-11EF14F9A68F}" name="Day of Week" totalsRowDxfId="106"/>
    <tableColumn id="4" xr3:uid="{8AF7BC47-97DC-40F7-85B1-D78B1D241B0E}" name="Bank Days Only" totalsRowDxfId="105"/>
    <tableColumn id="5" xr3:uid="{D61CEA41-086D-459E-992C-876780E3F8E5}" name="Start Date" totalsRowDxfId="104"/>
    <tableColumn id="6" xr3:uid="{E11B8D80-AFCB-48F6-993E-AA4C343D5364}" name="End Date" totalsRowDxfId="103"/>
    <tableColumn id="7" xr3:uid="{F5540D60-98D8-4ECA-9C7A-71E885A64F74}" name="NEXT DUE" totalsRowDxfId="102">
      <calculatedColumnFormula>NextDate(CalcDate,EXPbi[[#This Row],[Start Date]],EXPbi[[#This Row],[End Date]],"B",EXPbi[[#This Row],[Day of Week]])</calculatedColumnFormula>
    </tableColumn>
    <tableColumn id="8" xr3:uid="{D9590C13-4D13-4BE1-87D3-4A67114E1B6B}" name="REQUIRED" totalsRowFunction="sum" totalsRowDxfId="101">
      <calculatedColumnFormula>BiWeekly(EXPbi[[#This Row],[Amount]],EXPbi[[#This Row],[Day of Week]],CalcDate,EXPbi[[#This Row],[NEXT DUE]])</calculatedColumnFormula>
    </tableColumn>
    <tableColumn id="9" xr3:uid="{15DD768B-A98D-40FD-BFF9-4CC024536273}" name="RATE/DAY" totalsRowFunction="sum" totalsRowDxfId="100">
      <calculatedColumnFormula>EXPbi[[#This Row],[Amount]]/14</calculatedColumnFormula>
    </tableColumn>
    <tableColumn id="10" xr3:uid="{DD2ADE97-F532-40C4-B314-CC51C84FA81A}" name="PROJECTED" totalsRowFunction="sum" totalsRowDxfId="99">
      <calculatedColumnFormula>ProjBi(EXPbi[[#This Row],[Amount]],EXPbi[[#This Row],[Day of Week]],EXPbi[[#This Row],[Start Date]],EXPbi[[#This Row],[End Date]],CalcDate,ProjDate)</calculatedColumnFormula>
    </tableColumn>
  </tableColumns>
  <tableStyleInfo name="EXPtab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1A8201-BB88-440C-AD6C-8B8566F3C0F7}" name="EXPwk" displayName="EXPwk" ref="B22:K24" totalsRowCount="1" headerRowDxfId="98">
  <autoFilter ref="B22:K23" xr:uid="{1E86EF9A-04B1-4851-9F49-CABD724F7655}"/>
  <tableColumns count="10">
    <tableColumn id="1" xr3:uid="{7DC2A68B-82FD-4BCE-9182-22A8F08402C0}" name="Item" totalsRowLabel="Total" totalsRowDxfId="97"/>
    <tableColumn id="2" xr3:uid="{3B6B2225-37BA-42D3-83AB-555ED888DD7B}" name="Amount" totalsRowFunction="sum" totalsRowDxfId="96"/>
    <tableColumn id="3" xr3:uid="{CA1B382A-3FFC-4885-AAFB-CD43050A13FD}" name="Day of Week" totalsRowDxfId="95"/>
    <tableColumn id="4" xr3:uid="{0F6AE907-44CA-4E3D-829E-A9094A22835E}" name="Bank Days Only" totalsRowDxfId="94"/>
    <tableColumn id="5" xr3:uid="{25E34074-5E60-4ED6-B8B1-A4DF5977C29C}" name="Start Date" totalsRowDxfId="93"/>
    <tableColumn id="6" xr3:uid="{B6E4F3CF-2C33-4C67-AA30-262760875306}" name="End Date" totalsRowDxfId="92"/>
    <tableColumn id="7" xr3:uid="{5965FC5D-9FAF-40B3-AD6B-33A3B24E2363}" name="NEXT DUE" totalsRowDxfId="91">
      <calculatedColumnFormula>NextDate(CalcDate,EXPwk[[#This Row],[Start Date]],EXPwk[[#This Row],[End Date]],"w",EXPwk[[#This Row],[Day of Week]])</calculatedColumnFormula>
    </tableColumn>
    <tableColumn id="8" xr3:uid="{9F98C0B9-F32F-4F18-902C-54648C3B8FF7}" name="REQUIRED" totalsRowFunction="sum" totalsRowDxfId="90">
      <calculatedColumnFormula>Weekly(EXPwk[[#This Row],[Amount]],EXPwk[[#This Row],[Day of Week]],CalcDate,EXPwk[[#This Row],[NEXT DUE]])</calculatedColumnFormula>
    </tableColumn>
    <tableColumn id="9" xr3:uid="{CE128CF4-2421-4A29-AEC9-6150E1B1E194}" name="RATE/DAY" totalsRowFunction="sum" totalsRowDxfId="89">
      <calculatedColumnFormula>EXPwk[[#This Row],[Amount]]/7</calculatedColumnFormula>
    </tableColumn>
    <tableColumn id="10" xr3:uid="{EE021E5A-AEFD-468A-A4E6-0E4110E68ED9}" name="PROJECTED" totalsRowFunction="sum" totalsRowDxfId="88">
      <calculatedColumnFormula>ProjWk(EXPwk[[#This Row],[Amount]],EXPwk[[#This Row],[Day of Week]],EXPwk[[#This Row],[Start Date]],EXPwk[[#This Row],[End Date]],CalcDate,ProjDate)</calculatedColumnFormula>
    </tableColumn>
  </tableColumns>
  <tableStyleInfo name="EXPtab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49FC435-1C1F-4B83-B57B-94204C5EBC30}" name="EXPterm" displayName="EXPterm" ref="B26:K28" totalsRowCount="1" headerRowDxfId="87">
  <autoFilter ref="B26:K27" xr:uid="{664CE2B3-6FCB-4B2E-A662-6BD9F5724919}"/>
  <tableColumns count="10">
    <tableColumn id="1" xr3:uid="{18D5A2F2-9D8E-47F4-AAE0-0DCFFC8499CB}" name="Item" totalsRowLabel="Total" totalsRowDxfId="86"/>
    <tableColumn id="2" xr3:uid="{744F14DC-4341-40E4-B7C2-9F55CCB46E1D}" name="Amount" totalsRowDxfId="85"/>
    <tableColumn id="3" xr3:uid="{6EE4B733-5892-4392-980F-55F6CD2BBDB6}" name="Day of Week" totalsRowDxfId="84"/>
    <tableColumn id="4" xr3:uid="{945C3D89-96B7-49AC-A073-C6850C47BE17}" name="Period (Term/Days)" totalsRowDxfId="83"/>
    <tableColumn id="5" xr3:uid="{632179B4-6D5D-4F2C-B05C-184DF26DDF9E}" name="Start Date" totalsRowDxfId="82"/>
    <tableColumn id="6" xr3:uid="{B65FD109-F801-41C3-AB44-027DBE857D1D}" name="End Date" totalsRowDxfId="81"/>
    <tableColumn id="7" xr3:uid="{4F17EF26-34C3-4B55-9FE8-52AB4EC167A8}" name="NEXT DUE" totalsRowDxfId="80"/>
    <tableColumn id="8" xr3:uid="{4D0D622C-69F2-49D2-9AF8-F01D7CB078B1}" name="REQUIRED" totalsRowDxfId="79"/>
    <tableColumn id="9" xr3:uid="{8D1F2CA1-5FE1-439D-986D-CA9E6751E748}" name="RATE/DAY" totalsRowDxfId="78"/>
    <tableColumn id="10" xr3:uid="{ACD96FFE-A230-47AF-9A70-3B1496913589}" name="PROJECTED" totalsRowFunction="sum" totalsRowDxfId="77"/>
  </tableColumns>
  <tableStyleInfo name="EXPtab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EB08223-1955-47C6-A42F-C32979BD2F7C}" name="EXPreg" displayName="EXPreg" ref="B30:K34" totalsRowCount="1" headerRowDxfId="76">
  <autoFilter ref="B30:K33" xr:uid="{AFBDFD65-B193-4ABC-A24E-81C81304CF9B}"/>
  <tableColumns count="10">
    <tableColumn id="1" xr3:uid="{965780AF-8505-407E-BC4A-F17F20C66162}" name="Item" totalsRowLabel="Total" totalsRowDxfId="75"/>
    <tableColumn id="2" xr3:uid="{BFB8F048-B98C-4056-AF7C-89768F5B9BC8}" name="Amount" totalsRowFunction="sum" totalsRowDxfId="74"/>
    <tableColumn id="3" xr3:uid="{2320D690-FC55-4842-BDA5-7B566603FC27}" name="Period (Days)" totalsRowDxfId="73"/>
    <tableColumn id="4" xr3:uid="{F3B83A28-5DF3-4ACD-8503-C6A8C1A26E79}" name="Bank Days Only" totalsRowDxfId="72"/>
    <tableColumn id="5" xr3:uid="{3A49F787-E698-4283-8064-AB6F6D8B37F7}" name="Start Date" totalsRowDxfId="71"/>
    <tableColumn id="6" xr3:uid="{231B45EC-F80C-4E34-9404-D5C18C4B3DD4}" name="End Date" totalsRowDxfId="70"/>
    <tableColumn id="7" xr3:uid="{7617705D-1DB3-4A68-90F9-73E2807B8230}" name="NEXT DUE" totalsRowDxfId="69">
      <calculatedColumnFormula>NextDate(CalcDate,EXPreg[[#This Row],[Start Date]],EXPreg[[#This Row],[End Date]],EXPreg[[#This Row],[Period (Days)]])</calculatedColumnFormula>
    </tableColumn>
    <tableColumn id="8" xr3:uid="{16DED289-885F-4BC8-9C17-3F2E2BFB9A80}" name="REQUIRED" totalsRowFunction="sum" totalsRowDxfId="68">
      <calculatedColumnFormula>Regular(EXPreg[[#This Row],[Amount]],EXPreg[[#This Row],[Period (Days)]],CalcDate,EXPreg[[#This Row],[NEXT DUE]])</calculatedColumnFormula>
    </tableColumn>
    <tableColumn id="9" xr3:uid="{1DF75149-D5DC-409C-8C42-BDB4FAB74477}" name="RATE/DAY" totalsRowFunction="sum" totalsRowDxfId="67">
      <calculatedColumnFormula>EXPreg[[#This Row],[Amount]]/EXPreg[[#This Row],[Period (Days)]]</calculatedColumnFormula>
    </tableColumn>
    <tableColumn id="10" xr3:uid="{AD4BB5EA-4E9B-4BF4-92B1-5EA6579F9FDF}" name="PROJECTED" totalsRowFunction="sum" totalsRowDxfId="66">
      <calculatedColumnFormula>ProjReg(EXPreg[[#This Row],[Amount]],EXPreg[[#This Row],[Period (Days)]],EXPreg[[#This Row],[Start Date]],EXPreg[[#This Row],[End Date]],CalcDate,ProjDate)</calculatedColumnFormula>
    </tableColumn>
  </tableColumns>
  <tableStyleInfo name="EXPtab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8F40A62-C18E-4C91-BD73-F891D3A7E8E4}" name="EXPowe" displayName="EXPowe" ref="B4:J6" totalsRowCount="1" headerRowDxfId="65">
  <autoFilter ref="B4:J5" xr:uid="{FCB04882-084E-46FC-AB44-6327FAE40647}"/>
  <tableColumns count="9">
    <tableColumn id="1" xr3:uid="{2500CB29-F9A1-4CB0-978B-4373B08565F7}" name="Creditor" totalsRowLabel="Total"/>
    <tableColumn id="2" xr3:uid="{575FE0A2-AF2B-4157-870A-44447DFCD247}" name="Item"/>
    <tableColumn id="3" xr3:uid="{23455540-6ABA-414E-ABCA-7D241D5BDDC1}" name="Amount" totalsRowFunction="sum" totalsRowDxfId="64"/>
    <tableColumn id="4" xr3:uid="{C4EA10FA-652F-4998-ABD8-A8E3C335BCB2}" name="Start Date" totalsRowDxfId="63"/>
    <tableColumn id="5" xr3:uid="{92659321-90BF-4DF2-8CDE-DEA2740D1B38}" name="Date For Payment" totalsRowDxfId="62"/>
    <tableColumn id="6" xr3:uid="{EFE9181D-19CE-466F-BBEE-1EEC5D216E44}" name="COMPLETE" totalsRowFunction="sum" totalsRowDxfId="61"/>
    <tableColumn id="7" xr3:uid="{893F125E-3193-4BC8-B5C6-1B098CB8E480}" name="REQUIRED" totalsRowFunction="sum" totalsRowDxfId="60">
      <calculatedColumnFormula>IF(AND(EXPowe[[#This Row],[Start Date]]&gt;0,EXPowe[[#This Row],[Date For Payment]]=0),EXPowe[[#This Row],[Amount]]-EXPowe[[#This Row],[COMPLETE]],CalcSave(EXPowe[[#This Row],[Amount]]-EXPowe[[#This Row],[COMPLETE]],CalcDate,EXPowe[[#This Row],[Start Date]],EXPowe[[#This Row],[Date For Payment]]))</calculatedColumnFormula>
    </tableColumn>
    <tableColumn id="8" xr3:uid="{CCA3134A-4F8C-4982-9F47-AB36E0536328}" name="RATE/DAY" totalsRowFunction="sum" totalsRowDxfId="59">
      <calculatedColumnFormula>IF(EXPowe[[#This Row],[Start Date]]&gt;0,IF(EXPowe[[#This Row],[Date For Payment]]=0,0,(EXPowe[[#This Row],[Amount]]-EXPowe[[#This Row],[COMPLETE]])/(EXPowe[[#This Row],[Date For Payment]]-EXPowe[[#This Row],[Start Date]])),0)</calculatedColumnFormula>
    </tableColumn>
    <tableColumn id="9" xr3:uid="{A1AB90AC-7512-48ED-B3DF-D72CA987262B}" name="PROJECTED" totalsRowFunction="sum" totalsRowDxfId="58">
      <calculatedColumnFormula>IF(EXPowe[[#This Row],[Date For Payment]]=0,EXPowe[[#This Row],[Amount]]-EXPowe[[#This Row],[COMPLETE]],CalcSave(EXPowe[[#This Row],[Amount]]-EXPowe[[#This Row],[COMPLETE]],ProjDate,EXPowe[[#This Row],[Start Date]],EXPowe[[#This Row],[Date For Payment]]))</calculatedColumnFormula>
    </tableColumn>
  </tableColumns>
  <tableStyleInfo name="EXPtab" showFirstColumn="1" showLastColumn="1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76BC9B1-A01B-499B-A329-AB0511659A5B}" name="EXPirr" displayName="EXPirr" ref="C7:J10" totalsRowCount="1" headerRowDxfId="57" totalsRowDxfId="56">
  <autoFilter ref="C7:J9" xr:uid="{00DC694A-482C-43ED-85A5-0741AB3B80AA}"/>
  <tableColumns count="8">
    <tableColumn id="1" xr3:uid="{27C9B52F-DE74-4019-8419-AC00C4E1623F}" name="Item" totalsRowLabel="Total" totalsRowDxfId="55"/>
    <tableColumn id="2" xr3:uid="{6688CE76-537F-4B63-99AB-F16975E5A8FE}" name="Amount" totalsRowFunction="sum" totalsRowDxfId="54"/>
    <tableColumn id="3" xr3:uid="{64A46A80-4A0C-46FA-9B96-196E21FDED4F}" name="Start Date" totalsRowDxfId="53"/>
    <tableColumn id="4" xr3:uid="{14576991-50F8-4CD2-8C5E-5E2AB0E1A217}" name="Date For Payment" totalsRowDxfId="52"/>
    <tableColumn id="5" xr3:uid="{0DAB4CFA-6C6A-4ADE-ACFB-E577A80F832C}" name="COMPLETE" totalsRowFunction="sum" totalsRowDxfId="51"/>
    <tableColumn id="6" xr3:uid="{DE12CD20-668D-41E4-82A9-0B65D179E128}" name="REQUIRED" totalsRowFunction="sum" totalsRowDxfId="50">
      <calculatedColumnFormula>IF(AND(EXPirr[[#This Row],[Start Date]]&gt;0,EXPirr[[#This Row],[Date For Payment]]=0),EXPirr[[#This Row],[Amount]],CalcSave(EXPirr[[#This Row],[Amount]]-EXPirr[[#This Row],[COMPLETE]],CalcDate,EXPirr[[#This Row],[Start Date]],EXPirr[[#This Row],[Date For Payment]]))</calculatedColumnFormula>
    </tableColumn>
    <tableColumn id="7" xr3:uid="{9A3A3473-DD32-4634-94AC-19CE0BC3B0B2}" name="RATE/DAY" totalsRowFunction="sum" totalsRowDxfId="49">
      <calculatedColumnFormula>IF(EXPirr[[#This Row],[Start Date]]&gt;0,(EXPirr[[#This Row],[Amount]]-EXPirr[[#This Row],[COMPLETE]])/(EXPirr[[#This Row],[Date For Payment]]-EXPirr[[#This Row],[Start Date]]),0)</calculatedColumnFormula>
    </tableColumn>
    <tableColumn id="8" xr3:uid="{46D0D854-CCBB-4E02-94C4-575C219665D7}" name="PROJECTED" totalsRowFunction="sum" totalsRowDxfId="48">
      <calculatedColumnFormula>IF(EXPirr[[#This Row],[Start Date]]&gt;0,IF(EXPirr[[#This Row],[Date For Payment]]=0,EXPirr[[#This Row],[Amount]],CalcSave(EXPirr[[#This Row],[Amount]]-EXPirr[[#This Row],[COMPLETE]],ProjDate,EXPirr[[#This Row],[Start Date]],EXPirr[[#This Row],[Date For Payment]],IF(AND(CalcDate&lt;EXPirr[[#This Row],[Date For Payment]],ProjDate&gt;EXPirr[[#This Row],[Date For Payment]]),1,0)))+ProjAnn(EXPirr[[#This Row],[Amount]],DATE(YEAR(EXPirr[[#This Row],[Date For Payment]])+1,MONTH(EXPirr[[#This Row],[Date For Payment]]),DAY(EXPirr[[#This Row],[Date For Payment]])),0,CalcDate,ProjDate),0)</calculatedColumnFormula>
    </tableColumn>
  </tableColumns>
  <tableStyleInfo name="EXPtab" showFirstColumn="1" showLastColumn="1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9BB73C0-F1CB-4090-9C66-E81545EAC8D3}" name="INCowe" displayName="INCowe" ref="B15:J17" totalsRowCount="1" headerRowDxfId="47">
  <autoFilter ref="B15:J16" xr:uid="{6AA56FCB-24C8-46CB-8962-FF7F24C087D7}"/>
  <tableColumns count="9">
    <tableColumn id="1" xr3:uid="{49A99491-CEFD-4200-AB97-ECEB56BDC5D5}" name="Creditor" totalsRowLabel="Total"/>
    <tableColumn id="2" xr3:uid="{80BE651C-5BF1-493E-8188-953303196067}" name="Item" totalsRowDxfId="46"/>
    <tableColumn id="3" xr3:uid="{09ED3681-D33D-44D4-B16C-261D33773C96}" name="Amount" totalsRowFunction="sum" dataDxfId="45" totalsRowDxfId="44"/>
    <tableColumn id="4" xr3:uid="{6FA2ECB2-970A-498F-8AF2-D7E8B97D4C7B}" name="Start Date" dataDxfId="43" totalsRowDxfId="42"/>
    <tableColumn id="5" xr3:uid="{E27F5C16-9BB8-4459-807B-B6847BAA4B19}" name="Date For Payment" totalsRowDxfId="41"/>
    <tableColumn id="6" xr3:uid="{9F5B72A2-FE79-40F8-A217-6DABA09DF5D4}" name="COMPLETE" totalsRowFunction="sum" totalsRowDxfId="40"/>
    <tableColumn id="7" xr3:uid="{23F9EE95-AFD9-4F87-9F4B-A6BD3DBD5393}" name="REQUIRED" totalsRowFunction="sum" dataDxfId="39" totalsRowDxfId="38">
      <calculatedColumnFormula>IF(AND(INCowe[[#This Row],[Start Date]]&gt;0,INCowe[[#This Row],[Date For Payment]]=0),INCowe[[#This Row],[Amount]]-INCowe[[#This Row],[COMPLETE]],CalcSave(INCowe[[#This Row],[Amount]]-INCowe[[#This Row],[COMPLETE]],CalcDate,INCowe[[#This Row],[Start Date]],INCowe[[#This Row],[Date For Payment]]))</calculatedColumnFormula>
    </tableColumn>
    <tableColumn id="8" xr3:uid="{0E889AEE-3A09-4AD9-8C9F-7039B35C07A4}" name="RATE/DAY" totalsRowFunction="sum" totalsRowDxfId="37">
      <calculatedColumnFormula>IF(INCowe[[#This Row],[Start Date]]&gt;0,IF(INCowe[[#This Row],[Date For Payment]]=0,0,(INCowe[[#This Row],[Amount]]-INCowe[[#This Row],[COMPLETE]])/(INCowe[[#This Row],[Date For Payment]]-INCowe[[#This Row],[Start Date]])),0)</calculatedColumnFormula>
    </tableColumn>
    <tableColumn id="9" xr3:uid="{00FB606F-8AF0-4B6E-A5A3-CE5EAE06F342}" name="PROJECTED" totalsRowFunction="sum" dataDxfId="36" totalsRowDxfId="35">
      <calculatedColumnFormula>IF(INCowe[[#This Row],[Date For Payment]]=0,INCowe[[#This Row],[Amount]]-INCowe[[#This Row],[COMPLETE]],CalcSave(INCowe[[#This Row],[Amount]]-INCowe[[#This Row],[COMPLETE]],ProjDate,INCowe[[#This Row],[Start Date]],INCowe[[#This Row],[Date For Payment]]))</calculatedColumnFormula>
    </tableColumn>
  </tableColumns>
  <tableStyleInfo name="INCtab" showFirstColumn="1" showLastColumn="1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D61115F-6BCE-4D1D-AB60-63087634C651}" name="INCirr" displayName="INCirr" ref="C18:J20" totalsRowCount="1" headerRowDxfId="34" totalsRowDxfId="33">
  <autoFilter ref="C18:J19" xr:uid="{7115D790-B035-4BE2-84A2-AA1A3770975A}"/>
  <tableColumns count="8">
    <tableColumn id="1" xr3:uid="{3CEE053E-4066-45F1-BBAD-E43C00B4DADD}" name="Item" totalsRowLabel="Total" totalsRowDxfId="32"/>
    <tableColumn id="2" xr3:uid="{1F6C01F7-DA84-49B9-A6D3-C65ECEA39D69}" name="Amount" totalsRowFunction="sum" totalsRowDxfId="31"/>
    <tableColumn id="3" xr3:uid="{1CD9129E-7180-47CA-A9D8-86906B3ECAE8}" name="Start Date" totalsRowDxfId="30"/>
    <tableColumn id="4" xr3:uid="{B4238E38-8D54-4569-9C39-5398E778425C}" name="Date For Payment" totalsRowDxfId="29"/>
    <tableColumn id="5" xr3:uid="{0010AFA1-78CD-40D8-B4E2-ABB0E3522B8E}" name="COMPLETE" totalsRowFunction="sum" totalsRowDxfId="28"/>
    <tableColumn id="6" xr3:uid="{4875189F-CF04-40BA-BFED-36447EA3CFD2}" name="REQUIRED" totalsRowFunction="sum" totalsRowDxfId="27">
      <calculatedColumnFormula>IF(AND(INCirr[[#This Row],[Start Date]]&gt;0,INCirr[[#This Row],[Date For Payment]]=0),INCirr[[#This Row],[Amount]],CalcSave(INCirr[[#This Row],[Amount]]-INCirr[[#This Row],[COMPLETE]],CalcDate,INCirr[[#This Row],[Start Date]],INCirr[[#This Row],[Date For Payment]]))</calculatedColumnFormula>
    </tableColumn>
    <tableColumn id="7" xr3:uid="{C101569E-95D4-4BF7-9C34-62BAFB78AB30}" name="RATE/DAY" totalsRowFunction="sum" totalsRowDxfId="26">
      <calculatedColumnFormula>IF(INCirr[[#This Row],[Start Date]]&gt;0,(INCirr[[#This Row],[Amount]]-INCirr[[#This Row],[COMPLETE]])/(INCirr[[#This Row],[Date For Payment]]-INCirr[[#This Row],[Start Date]]),0)</calculatedColumnFormula>
    </tableColumn>
    <tableColumn id="8" xr3:uid="{64BAF944-24D6-4809-B5AA-2A7C4834CCAC}" name="PROJECTED" totalsRowFunction="sum" totalsRowDxfId="25">
      <calculatedColumnFormula>IF(INCirr[[#This Row],[Start Date]]&gt;0,IF(INCirr[[#This Row],[Date For Payment]]=0,INCirr[[#This Row],[Amount]],CalcSave(INCirr[[#This Row],[Amount]]-INCirr[[#This Row],[COMPLETE]],ProjDate,INCirr[[#This Row],[Start Date]],INCirr[[#This Row],[Date For Payment]],IF(AND(CalcDate&lt;INCirr[[#This Row],[Date For Payment]],ProjDate&gt;INCirr[[#This Row],[Date For Payment]]),1,0)))+ProjAnn(INCirr[[#This Row],[Amount]],DATE(YEAR(INCirr[[#This Row],[Date For Payment]])+1,MONTH(INCirr[[#This Row],[Date For Payment]]),DAY(INCirr[[#This Row],[Date For Payment]])),0,CalcDate,ProjDate),0)</calculatedColumnFormula>
    </tableColumn>
  </tableColumns>
  <tableStyleInfo name="INCtab" showFirstColumn="1" showLastColumn="1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6A9CF-44D3-47A0-9F74-97F0E3727779}" name="projLOG" displayName="projLOG" ref="C14:K14" headerRowCount="0" totalsRowShown="0" headerRowDxfId="24" tableBorderDxfId="23" totalsRowBorderDxfId="22">
  <tableColumns count="9">
    <tableColumn id="1" xr3:uid="{A9C382D1-3604-4799-B9AA-CC3365504529}" name="logDate" headerRowDxfId="21" dataDxfId="20"/>
    <tableColumn id="2" xr3:uid="{E1950821-88ED-45B0-A860-25D27B402895}" name="availBal" headerRowDxfId="19" dataDxfId="18"/>
    <tableColumn id="3" xr3:uid="{2A250E33-D08E-4238-81AC-4F7D878BDBD4}" name="logPeriod" headerRowDxfId="17" dataDxfId="16">
      <calculatedColumnFormula>projLOG[[#This Row],[logDate]]-OFFSET(projLOG[[#This Row],[logDate]],-1,0)</calculatedColumnFormula>
    </tableColumn>
    <tableColumn id="4" xr3:uid="{C7AE2606-AB84-441D-8D10-E0747613B00E}" name="logCumul" headerRowDxfId="15" dataDxfId="14">
      <calculatedColumnFormula>projLOG[[#This Row],[logDate]]-initLogDate</calculatedColumnFormula>
    </tableColumn>
    <tableColumn id="5" xr3:uid="{C9885C3E-18C7-48A2-8192-9CDD45724625}" name="glPeriod" headerRowDxfId="13" dataDxfId="12">
      <calculatedColumnFormula>projLOG[[#This Row],[availBal]]-OFFSET(projLOG[[#This Row],[availBal]],-1,0)</calculatedColumnFormula>
    </tableColumn>
    <tableColumn id="6" xr3:uid="{57B709E4-3DC9-47D1-9FDD-279EF0333AB9}" name="glCumul" headerRowDxfId="11" dataDxfId="10">
      <calculatedColumnFormula>projLOG[[#This Row],[availBal]]-initBal</calculatedColumnFormula>
    </tableColumn>
    <tableColumn id="7" xr3:uid="{5E07F18C-A7F6-46E9-AC30-FECD7D39A19E}" name="projAdj" headerRowDxfId="9" dataDxfId="8">
      <calculatedColumnFormula>initProj+projLOG[[#This Row],[glCumul]]-projLOG[[#This Row],[logCumul]]*initRate</calculatedColumnFormula>
    </tableColumn>
    <tableColumn id="8" xr3:uid="{5C14ECA4-55C3-4793-9519-E5F8E048EAA4}" name="projCurr" headerRowDxfId="7" dataDxfId="6"/>
    <tableColumn id="9" xr3:uid="{E627CD34-120E-42B7-AF67-08C7BBBBAF8E}" name="nonBudSpend" headerRowDxfId="5" dataDxfId="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DE5EDE8-61EE-47D6-A335-534D4B0E535E}" name="Table13" displayName="Table13" ref="A1:D5" totalsRowShown="0">
  <autoFilter ref="A1:D5" xr:uid="{F12DE0BC-EA2E-4DEE-AEAF-40E1EAAFCE94}"/>
  <tableColumns count="4">
    <tableColumn id="1" xr3:uid="{C0D8F928-25FF-43F6-9F8F-7E3F61303CC5}" name="No" dataDxfId="3"/>
    <tableColumn id="2" xr3:uid="{6FAD01D7-A2B4-4FCC-A099-2269E0705317}" name="TASK" dataDxfId="2"/>
    <tableColumn id="3" xr3:uid="{8991530F-C01F-4463-B984-456027A7ABD6}" name="PRIORITY" dataDxfId="1"/>
    <tableColumn id="4" xr3:uid="{D185B126-94F2-4F42-97D3-11A43A71153C}" name="NOT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Relationship Id="rId4" Type="http://schemas.openxmlformats.org/officeDocument/2006/relationships/table" Target="../tables/table1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EFEE8-7CE9-4074-9499-E8909B2476FE}">
  <sheetPr codeName="Sheet1">
    <tabColor rgb="FF7030A0"/>
  </sheetPr>
  <dimension ref="A1:G11"/>
  <sheetViews>
    <sheetView tabSelected="1" zoomScale="190" zoomScaleNormal="190" workbookViewId="0">
      <selection activeCell="G3" sqref="G3"/>
    </sheetView>
  </sheetViews>
  <sheetFormatPr defaultColWidth="9.140625" defaultRowHeight="15.75" x14ac:dyDescent="0.25"/>
  <cols>
    <col min="1" max="1" width="3.7109375" style="15" bestFit="1" customWidth="1"/>
    <col min="2" max="2" width="3.7109375" style="14" customWidth="1"/>
    <col min="3" max="3" width="21" style="85" customWidth="1"/>
    <col min="4" max="4" width="14.140625" style="80" customWidth="1"/>
    <col min="5" max="5" width="16.85546875" style="81" customWidth="1"/>
    <col min="6" max="6" width="21" style="100" bestFit="1" customWidth="1"/>
    <col min="7" max="7" width="14.140625" style="97" bestFit="1" customWidth="1"/>
    <col min="8" max="16384" width="9.140625" style="12"/>
  </cols>
  <sheetData>
    <row r="1" spans="1:7" s="16" customFormat="1" ht="16.5" thickBot="1" x14ac:dyDescent="0.3">
      <c r="A1" s="278" t="s">
        <v>11</v>
      </c>
      <c r="B1" s="18"/>
      <c r="C1" s="73"/>
      <c r="D1" s="73"/>
      <c r="E1" s="74"/>
      <c r="F1" s="86"/>
      <c r="G1" s="87"/>
    </row>
    <row r="2" spans="1:7" s="16" customFormat="1" ht="16.5" thickTop="1" x14ac:dyDescent="0.25">
      <c r="A2" s="278"/>
      <c r="B2" s="18"/>
      <c r="C2" s="75" t="s">
        <v>7</v>
      </c>
      <c r="D2" s="76">
        <f ca="1">TODAY()</f>
        <v>44228</v>
      </c>
      <c r="E2" s="74"/>
      <c r="F2" s="88" t="s">
        <v>8</v>
      </c>
      <c r="G2" s="89">
        <f>CURsave[[#Totals],[Amount]]-CURcred[[#Totals],[Amount]]</f>
        <v>10395</v>
      </c>
    </row>
    <row r="3" spans="1:7" s="16" customFormat="1" x14ac:dyDescent="0.25">
      <c r="A3" s="278"/>
      <c r="B3" s="18"/>
      <c r="C3" s="73"/>
      <c r="D3" s="73"/>
      <c r="E3" s="74"/>
      <c r="F3" s="90" t="s">
        <v>9</v>
      </c>
      <c r="G3" s="91">
        <f ca="1">BalReq</f>
        <v>3591.47</v>
      </c>
    </row>
    <row r="4" spans="1:7" s="16" customFormat="1" ht="16.5" thickBot="1" x14ac:dyDescent="0.3">
      <c r="A4" s="278"/>
      <c r="B4" s="18"/>
      <c r="C4" s="73"/>
      <c r="D4" s="73"/>
      <c r="E4" s="74"/>
      <c r="F4" s="92" t="s">
        <v>10</v>
      </c>
      <c r="G4" s="93">
        <f ca="1">G2-G3</f>
        <v>6803.5300000000007</v>
      </c>
    </row>
    <row r="5" spans="1:7" s="17" customFormat="1" ht="16.5" thickTop="1" x14ac:dyDescent="0.25">
      <c r="A5" s="279"/>
      <c r="B5" s="19"/>
      <c r="C5" s="77"/>
      <c r="D5" s="77"/>
      <c r="E5" s="78"/>
      <c r="F5" s="94"/>
      <c r="G5" s="95"/>
    </row>
    <row r="6" spans="1:7" x14ac:dyDescent="0.25">
      <c r="A6" s="280" t="s">
        <v>18</v>
      </c>
      <c r="B6" s="11"/>
      <c r="C6" s="79" t="s">
        <v>12</v>
      </c>
      <c r="F6" s="96" t="s">
        <v>15</v>
      </c>
    </row>
    <row r="7" spans="1:7" s="13" customFormat="1" ht="15" x14ac:dyDescent="0.25">
      <c r="A7" s="281"/>
      <c r="B7" s="11"/>
      <c r="C7" s="82" t="s">
        <v>13</v>
      </c>
      <c r="D7" s="83"/>
      <c r="E7" s="84"/>
      <c r="F7" s="98" t="s">
        <v>16</v>
      </c>
      <c r="G7" s="99"/>
    </row>
    <row r="8" spans="1:7" x14ac:dyDescent="0.25">
      <c r="A8" s="281"/>
      <c r="B8" s="11"/>
      <c r="C8" s="3" t="s">
        <v>14</v>
      </c>
      <c r="D8" s="3" t="s">
        <v>1</v>
      </c>
      <c r="F8" s="3" t="s">
        <v>17</v>
      </c>
      <c r="G8" s="10" t="s">
        <v>1</v>
      </c>
    </row>
    <row r="9" spans="1:7" x14ac:dyDescent="0.25">
      <c r="A9" s="281"/>
      <c r="B9" s="11"/>
      <c r="C9" s="3" t="s">
        <v>121</v>
      </c>
      <c r="D9" s="2">
        <v>11880</v>
      </c>
      <c r="F9" s="3" t="s">
        <v>122</v>
      </c>
      <c r="G9" s="2">
        <v>1485</v>
      </c>
    </row>
    <row r="10" spans="1:7" x14ac:dyDescent="0.25">
      <c r="A10" s="281"/>
      <c r="B10" s="11"/>
      <c r="C10" s="3" t="s">
        <v>39</v>
      </c>
      <c r="D10" s="2">
        <f>SUBTOTAL(109,CURsave[Amount])</f>
        <v>11880</v>
      </c>
      <c r="F10" s="3" t="s">
        <v>39</v>
      </c>
      <c r="G10" s="2">
        <f>SUBTOTAL(109,CURcred[Amount])</f>
        <v>1485</v>
      </c>
    </row>
    <row r="11" spans="1:7" x14ac:dyDescent="0.25">
      <c r="A11" s="281"/>
      <c r="B11" s="11"/>
    </row>
  </sheetData>
  <mergeCells count="2">
    <mergeCell ref="A1:A5"/>
    <mergeCell ref="A6:A11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C2738-AB47-4EFF-8B41-C5E3242C52D9}">
  <sheetPr codeName="Sheet2">
    <tabColor theme="1" tint="0.249977111117893"/>
  </sheetPr>
  <dimension ref="A1:J19"/>
  <sheetViews>
    <sheetView zoomScale="180" zoomScaleNormal="180" workbookViewId="0">
      <selection sqref="A1:A5"/>
    </sheetView>
  </sheetViews>
  <sheetFormatPr defaultColWidth="9.140625" defaultRowHeight="15" x14ac:dyDescent="0.25"/>
  <cols>
    <col min="1" max="1" width="3.7109375" style="70" bestFit="1" customWidth="1"/>
    <col min="2" max="2" width="3.7109375" style="72" customWidth="1"/>
    <col min="3" max="3" width="23.85546875" style="63" bestFit="1" customWidth="1"/>
    <col min="4" max="4" width="17.140625" style="64" bestFit="1" customWidth="1"/>
    <col min="5" max="5" width="8" style="65" bestFit="1" customWidth="1"/>
    <col min="6" max="6" width="9.140625" style="131"/>
    <col min="7" max="7" width="21" style="49" bestFit="1" customWidth="1"/>
    <col min="8" max="8" width="14.5703125" style="62" bestFit="1" customWidth="1"/>
    <col min="9" max="9" width="9.5703125" style="50" bestFit="1" customWidth="1"/>
    <col min="10" max="16384" width="9.140625" style="21"/>
  </cols>
  <sheetData>
    <row r="1" spans="1:10" s="105" customFormat="1" ht="16.5" thickBot="1" x14ac:dyDescent="0.3">
      <c r="A1" s="282" t="s">
        <v>11</v>
      </c>
      <c r="B1" s="101"/>
      <c r="C1" s="102"/>
      <c r="D1" s="103"/>
      <c r="E1" s="104"/>
      <c r="F1" s="104"/>
      <c r="G1" s="102"/>
      <c r="H1" s="103"/>
      <c r="I1" s="104"/>
    </row>
    <row r="2" spans="1:10" s="105" customFormat="1" ht="16.5" thickTop="1" x14ac:dyDescent="0.25">
      <c r="A2" s="282"/>
      <c r="B2" s="101"/>
      <c r="C2" s="106" t="s">
        <v>19</v>
      </c>
      <c r="D2" s="107">
        <v>44561</v>
      </c>
      <c r="E2" s="108"/>
      <c r="F2" s="104"/>
      <c r="G2" s="109" t="s">
        <v>8</v>
      </c>
      <c r="H2" s="110">
        <f>H6-D6</f>
        <v>10395</v>
      </c>
      <c r="I2" s="103"/>
    </row>
    <row r="3" spans="1:10" s="105" customFormat="1" ht="15.75" x14ac:dyDescent="0.25">
      <c r="A3" s="282"/>
      <c r="B3" s="101"/>
      <c r="C3" s="102"/>
      <c r="D3" s="103"/>
      <c r="E3" s="104"/>
      <c r="F3" s="104"/>
      <c r="G3" s="111" t="s">
        <v>9</v>
      </c>
      <c r="H3" s="112">
        <f ca="1">D8+D16-H8-H16</f>
        <v>-9444.6754118863828</v>
      </c>
      <c r="I3" s="104"/>
    </row>
    <row r="4" spans="1:10" s="105" customFormat="1" ht="16.5" thickBot="1" x14ac:dyDescent="0.3">
      <c r="A4" s="282"/>
      <c r="B4" s="101"/>
      <c r="C4" s="102"/>
      <c r="D4" s="103"/>
      <c r="E4" s="104"/>
      <c r="F4" s="104"/>
      <c r="G4" s="113" t="s">
        <v>10</v>
      </c>
      <c r="H4" s="114">
        <f ca="1">H2-H3</f>
        <v>19839.675411886383</v>
      </c>
      <c r="I4" s="104"/>
      <c r="J4" s="244"/>
    </row>
    <row r="5" spans="1:10" s="119" customFormat="1" ht="16.5" thickTop="1" x14ac:dyDescent="0.25">
      <c r="A5" s="283"/>
      <c r="B5" s="115"/>
      <c r="C5" s="116"/>
      <c r="D5" s="117"/>
      <c r="E5" s="118"/>
      <c r="F5" s="118"/>
      <c r="G5" s="116"/>
      <c r="H5" s="117"/>
      <c r="I5" s="118"/>
    </row>
    <row r="6" spans="1:10" ht="15.75" x14ac:dyDescent="0.25">
      <c r="A6" s="284" t="s">
        <v>18</v>
      </c>
      <c r="B6" s="71"/>
      <c r="C6" s="132" t="s">
        <v>74</v>
      </c>
      <c r="D6" s="209">
        <f>CURcred[[#Totals],[Amount]]</f>
        <v>1485</v>
      </c>
      <c r="E6" s="122"/>
      <c r="F6" s="130"/>
      <c r="G6" s="133" t="s">
        <v>67</v>
      </c>
      <c r="H6" s="210">
        <f>CURsave[[#Totals],[Amount]]</f>
        <v>11880</v>
      </c>
      <c r="I6" s="124"/>
    </row>
    <row r="7" spans="1:10" ht="15.75" x14ac:dyDescent="0.25">
      <c r="A7" s="284"/>
      <c r="B7" s="71"/>
      <c r="C7" s="120"/>
      <c r="D7" s="121"/>
      <c r="E7" s="122"/>
      <c r="F7" s="130"/>
      <c r="G7" s="85"/>
      <c r="H7" s="123"/>
      <c r="I7" s="124"/>
    </row>
    <row r="8" spans="1:10" ht="15.75" x14ac:dyDescent="0.25">
      <c r="A8" s="284"/>
      <c r="B8" s="71"/>
      <c r="C8" s="134" t="s">
        <v>20</v>
      </c>
      <c r="D8" s="136">
        <f ca="1">SUMIF(E9:E14,E9=0,D9:D14)</f>
        <v>29887.121713871878</v>
      </c>
      <c r="E8" s="126" t="s">
        <v>21</v>
      </c>
      <c r="F8" s="130"/>
      <c r="G8" s="135" t="s">
        <v>62</v>
      </c>
      <c r="H8" s="137">
        <f ca="1">SUMIF(I9:I14,I9=0,H9:H14)</f>
        <v>39488.571428571435</v>
      </c>
      <c r="I8" s="128" t="s">
        <v>21</v>
      </c>
      <c r="J8" s="245"/>
    </row>
    <row r="9" spans="1:10" ht="15.75" x14ac:dyDescent="0.25">
      <c r="A9" s="284"/>
      <c r="B9" s="71"/>
      <c r="C9" s="198" t="s">
        <v>73</v>
      </c>
      <c r="D9" s="199">
        <f ca="1">EXPann[[#Totals],[PROJECTED]]</f>
        <v>6232.3287671232874</v>
      </c>
      <c r="E9" s="127" t="b">
        <v>0</v>
      </c>
      <c r="F9" s="130"/>
      <c r="G9" s="200" t="s">
        <v>73</v>
      </c>
      <c r="H9" s="201">
        <f ca="1">INCann[[#Totals],[PROJECTED]]</f>
        <v>0</v>
      </c>
      <c r="I9" s="129" t="b">
        <v>0</v>
      </c>
    </row>
    <row r="10" spans="1:10" ht="15.75" x14ac:dyDescent="0.25">
      <c r="A10" s="284"/>
      <c r="B10" s="71"/>
      <c r="C10" s="198" t="s">
        <v>72</v>
      </c>
      <c r="D10" s="199">
        <f ca="1">EXPmon[[#Totals],[PROJECTED]]</f>
        <v>13092.580645161292</v>
      </c>
      <c r="E10" s="127" t="b">
        <v>0</v>
      </c>
      <c r="F10" s="130"/>
      <c r="G10" s="200" t="s">
        <v>72</v>
      </c>
      <c r="H10" s="201">
        <f ca="1">INCmon[[#Totals],[PROJECTED]]</f>
        <v>0</v>
      </c>
      <c r="I10" s="129" t="b">
        <v>0</v>
      </c>
    </row>
    <row r="11" spans="1:10" ht="15.75" x14ac:dyDescent="0.25">
      <c r="A11" s="284"/>
      <c r="B11" s="71"/>
      <c r="C11" s="198" t="s">
        <v>71</v>
      </c>
      <c r="D11" s="199">
        <f ca="1">EXPbi[[#Totals],[PROJECTED]]</f>
        <v>960</v>
      </c>
      <c r="E11" s="127" t="b">
        <v>0</v>
      </c>
      <c r="F11" s="130"/>
      <c r="G11" s="200" t="s">
        <v>71</v>
      </c>
      <c r="H11" s="201">
        <f ca="1">INCbi[[#Totals],[PROJECTED]]</f>
        <v>0</v>
      </c>
      <c r="I11" s="129" t="b">
        <v>0</v>
      </c>
    </row>
    <row r="12" spans="1:10" ht="15.75" x14ac:dyDescent="0.25">
      <c r="A12" s="284"/>
      <c r="B12" s="71"/>
      <c r="C12" s="198" t="s">
        <v>70</v>
      </c>
      <c r="D12" s="199">
        <f ca="1">EXPwk[[#Totals],[PROJECTED]]</f>
        <v>4785.7142857142853</v>
      </c>
      <c r="E12" s="127" t="b">
        <v>0</v>
      </c>
      <c r="F12" s="130"/>
      <c r="G12" s="200" t="s">
        <v>70</v>
      </c>
      <c r="H12" s="201">
        <f ca="1">INCwk[[#Totals],[PROJECTED]]</f>
        <v>38514.285714285717</v>
      </c>
      <c r="I12" s="129" t="b">
        <v>0</v>
      </c>
    </row>
    <row r="13" spans="1:10" ht="15.75" x14ac:dyDescent="0.25">
      <c r="A13" s="284"/>
      <c r="B13" s="71"/>
      <c r="C13" s="198" t="s">
        <v>69</v>
      </c>
      <c r="D13" s="199">
        <f>EXPterm[[#Totals],[PROJECTED]]</f>
        <v>0</v>
      </c>
      <c r="E13" s="127" t="b">
        <v>0</v>
      </c>
      <c r="F13" s="130"/>
      <c r="G13" s="200" t="s">
        <v>69</v>
      </c>
      <c r="H13" s="201">
        <f>INCterm[[#Totals],[PROJECTED]]</f>
        <v>0</v>
      </c>
      <c r="I13" s="129" t="b">
        <v>0</v>
      </c>
    </row>
    <row r="14" spans="1:10" ht="15.75" x14ac:dyDescent="0.25">
      <c r="A14" s="284"/>
      <c r="B14" s="71"/>
      <c r="C14" s="198" t="s">
        <v>68</v>
      </c>
      <c r="D14" s="199">
        <f ca="1">EXPreg[[#Totals],[PROJECTED]]</f>
        <v>4816.4980158730159</v>
      </c>
      <c r="E14" s="127" t="b">
        <v>0</v>
      </c>
      <c r="F14" s="130"/>
      <c r="G14" s="200" t="s">
        <v>68</v>
      </c>
      <c r="H14" s="201">
        <f ca="1">INCreg[[#Totals],[PROJECTED]]</f>
        <v>974.28571428571433</v>
      </c>
      <c r="I14" s="129" t="b">
        <v>0</v>
      </c>
    </row>
    <row r="15" spans="1:10" ht="15.75" x14ac:dyDescent="0.25">
      <c r="A15" s="284"/>
      <c r="B15" s="71"/>
      <c r="C15" s="120"/>
      <c r="D15" s="121"/>
      <c r="E15" s="122"/>
      <c r="F15" s="130"/>
      <c r="G15" s="85"/>
      <c r="H15" s="123"/>
      <c r="I15" s="124"/>
    </row>
    <row r="16" spans="1:10" ht="15.75" x14ac:dyDescent="0.25">
      <c r="A16" s="284"/>
      <c r="B16" s="71"/>
      <c r="C16" s="134" t="s">
        <v>53</v>
      </c>
      <c r="D16" s="136">
        <f ca="1">SUMIF(E17:E18,E17=0,D17:D18)</f>
        <v>256.7743028131743</v>
      </c>
      <c r="E16" s="126" t="s">
        <v>21</v>
      </c>
      <c r="F16" s="130"/>
      <c r="G16" s="135" t="s">
        <v>53</v>
      </c>
      <c r="H16" s="137">
        <f>SUMIF(I17:I18,I17=0,H17:H18)</f>
        <v>100</v>
      </c>
      <c r="I16" s="128" t="s">
        <v>21</v>
      </c>
    </row>
    <row r="17" spans="1:9" ht="15.75" x14ac:dyDescent="0.25">
      <c r="A17" s="284"/>
      <c r="B17" s="71"/>
      <c r="C17" s="198" t="s">
        <v>55</v>
      </c>
      <c r="D17" s="199">
        <f ca="1">Summary!G6</f>
        <v>205.71428571428572</v>
      </c>
      <c r="E17" s="127" t="b">
        <v>0</v>
      </c>
      <c r="F17" s="130"/>
      <c r="G17" s="200" t="s">
        <v>58</v>
      </c>
      <c r="H17" s="201">
        <f>INCowe[[#Totals],[PROJECTED]]</f>
        <v>100</v>
      </c>
      <c r="I17" s="129" t="b">
        <v>0</v>
      </c>
    </row>
    <row r="18" spans="1:9" ht="15.75" x14ac:dyDescent="0.25">
      <c r="A18" s="284"/>
      <c r="B18" s="71"/>
      <c r="C18" s="198" t="s">
        <v>56</v>
      </c>
      <c r="D18" s="199">
        <f ca="1">Summary!G7</f>
        <v>51.060017098888572</v>
      </c>
      <c r="E18" s="127" t="b">
        <v>0</v>
      </c>
      <c r="F18" s="130"/>
      <c r="G18" s="200" t="s">
        <v>56</v>
      </c>
      <c r="H18" s="201">
        <f>INCirr[[#Totals],[PROJECTED]]</f>
        <v>0</v>
      </c>
      <c r="I18" s="129" t="b">
        <v>0</v>
      </c>
    </row>
    <row r="19" spans="1:9" ht="15.75" x14ac:dyDescent="0.25">
      <c r="B19" s="125"/>
      <c r="C19" s="120"/>
      <c r="D19" s="121"/>
      <c r="E19" s="122"/>
      <c r="F19" s="130"/>
      <c r="G19" s="85"/>
      <c r="H19" s="123"/>
      <c r="I19" s="124"/>
    </row>
  </sheetData>
  <mergeCells count="2">
    <mergeCell ref="A1:A5"/>
    <mergeCell ref="A6: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4</xdr:col>
                    <xdr:colOff>152400</xdr:colOff>
                    <xdr:row>7</xdr:row>
                    <xdr:rowOff>180975</xdr:rowOff>
                  </from>
                  <to>
                    <xdr:col>4</xdr:col>
                    <xdr:colOff>514350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5" name="Check Box 19">
              <controlPr defaultSize="0" autoFill="0" autoLine="0" autoPict="0">
                <anchor moveWithCells="1">
                  <from>
                    <xdr:col>4</xdr:col>
                    <xdr:colOff>152400</xdr:colOff>
                    <xdr:row>8</xdr:row>
                    <xdr:rowOff>180975</xdr:rowOff>
                  </from>
                  <to>
                    <xdr:col>4</xdr:col>
                    <xdr:colOff>514350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6" name="Check Box 20">
              <controlPr defaultSize="0" autoFill="0" autoLine="0" autoPict="0">
                <anchor moveWithCells="1">
                  <from>
                    <xdr:col>4</xdr:col>
                    <xdr:colOff>152400</xdr:colOff>
                    <xdr:row>9</xdr:row>
                    <xdr:rowOff>180975</xdr:rowOff>
                  </from>
                  <to>
                    <xdr:col>4</xdr:col>
                    <xdr:colOff>514350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7" name="Check Box 21">
              <controlPr defaultSize="0" autoFill="0" autoLine="0" autoPict="0">
                <anchor moveWithCells="1">
                  <from>
                    <xdr:col>4</xdr:col>
                    <xdr:colOff>152400</xdr:colOff>
                    <xdr:row>10</xdr:row>
                    <xdr:rowOff>180975</xdr:rowOff>
                  </from>
                  <to>
                    <xdr:col>4</xdr:col>
                    <xdr:colOff>514350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8" name="Check Box 22">
              <controlPr defaultSize="0" autoFill="0" autoLine="0" autoPict="0">
                <anchor moveWithCells="1">
                  <from>
                    <xdr:col>4</xdr:col>
                    <xdr:colOff>152400</xdr:colOff>
                    <xdr:row>11</xdr:row>
                    <xdr:rowOff>180975</xdr:rowOff>
                  </from>
                  <to>
                    <xdr:col>4</xdr:col>
                    <xdr:colOff>514350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9" name="Check Box 23">
              <controlPr defaultSize="0" autoFill="0" autoLine="0" autoPict="0">
                <anchor moveWithCells="1">
                  <from>
                    <xdr:col>4</xdr:col>
                    <xdr:colOff>152400</xdr:colOff>
                    <xdr:row>12</xdr:row>
                    <xdr:rowOff>180975</xdr:rowOff>
                  </from>
                  <to>
                    <xdr:col>4</xdr:col>
                    <xdr:colOff>514350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Check Box 25">
              <controlPr defaultSize="0" autoFill="0" autoLine="0" autoPict="0">
                <anchor moveWithCells="1">
                  <from>
                    <xdr:col>4</xdr:col>
                    <xdr:colOff>152400</xdr:colOff>
                    <xdr:row>15</xdr:row>
                    <xdr:rowOff>180975</xdr:rowOff>
                  </from>
                  <to>
                    <xdr:col>4</xdr:col>
                    <xdr:colOff>514350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1" name="Check Box 26">
              <controlPr defaultSize="0" autoFill="0" autoLine="0" autoPict="0">
                <anchor moveWithCells="1">
                  <from>
                    <xdr:col>4</xdr:col>
                    <xdr:colOff>152400</xdr:colOff>
                    <xdr:row>16</xdr:row>
                    <xdr:rowOff>180975</xdr:rowOff>
                  </from>
                  <to>
                    <xdr:col>4</xdr:col>
                    <xdr:colOff>514350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2" name="Check Box 27">
              <controlPr defaultSize="0" autoFill="0" autoLine="0" autoPict="0">
                <anchor moveWithCells="1">
                  <from>
                    <xdr:col>8</xdr:col>
                    <xdr:colOff>152400</xdr:colOff>
                    <xdr:row>7</xdr:row>
                    <xdr:rowOff>180975</xdr:rowOff>
                  </from>
                  <to>
                    <xdr:col>8</xdr:col>
                    <xdr:colOff>514350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3" name="Check Box 28">
              <controlPr defaultSize="0" autoFill="0" autoLine="0" autoPict="0">
                <anchor moveWithCells="1">
                  <from>
                    <xdr:col>8</xdr:col>
                    <xdr:colOff>152400</xdr:colOff>
                    <xdr:row>8</xdr:row>
                    <xdr:rowOff>180975</xdr:rowOff>
                  </from>
                  <to>
                    <xdr:col>8</xdr:col>
                    <xdr:colOff>514350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4" name="Check Box 29">
              <controlPr defaultSize="0" autoFill="0" autoLine="0" autoPict="0">
                <anchor moveWithCells="1">
                  <from>
                    <xdr:col>8</xdr:col>
                    <xdr:colOff>152400</xdr:colOff>
                    <xdr:row>9</xdr:row>
                    <xdr:rowOff>180975</xdr:rowOff>
                  </from>
                  <to>
                    <xdr:col>8</xdr:col>
                    <xdr:colOff>514350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5" name="Check Box 30">
              <controlPr defaultSize="0" autoFill="0" autoLine="0" autoPict="0">
                <anchor moveWithCells="1">
                  <from>
                    <xdr:col>8</xdr:col>
                    <xdr:colOff>152400</xdr:colOff>
                    <xdr:row>10</xdr:row>
                    <xdr:rowOff>180975</xdr:rowOff>
                  </from>
                  <to>
                    <xdr:col>8</xdr:col>
                    <xdr:colOff>514350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6" name="Check Box 31">
              <controlPr defaultSize="0" autoFill="0" autoLine="0" autoPict="0">
                <anchor moveWithCells="1">
                  <from>
                    <xdr:col>8</xdr:col>
                    <xdr:colOff>152400</xdr:colOff>
                    <xdr:row>11</xdr:row>
                    <xdr:rowOff>180975</xdr:rowOff>
                  </from>
                  <to>
                    <xdr:col>8</xdr:col>
                    <xdr:colOff>514350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7" name="Check Box 32">
              <controlPr defaultSize="0" autoFill="0" autoLine="0" autoPict="0">
                <anchor moveWithCells="1">
                  <from>
                    <xdr:col>8</xdr:col>
                    <xdr:colOff>152400</xdr:colOff>
                    <xdr:row>12</xdr:row>
                    <xdr:rowOff>180975</xdr:rowOff>
                  </from>
                  <to>
                    <xdr:col>8</xdr:col>
                    <xdr:colOff>514350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8" name="Check Box 34">
              <controlPr defaultSize="0" autoFill="0" autoLine="0" autoPict="0">
                <anchor moveWithCells="1">
                  <from>
                    <xdr:col>8</xdr:col>
                    <xdr:colOff>152400</xdr:colOff>
                    <xdr:row>15</xdr:row>
                    <xdr:rowOff>180975</xdr:rowOff>
                  </from>
                  <to>
                    <xdr:col>8</xdr:col>
                    <xdr:colOff>514350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9" name="Check Box 35">
              <controlPr defaultSize="0" autoFill="0" autoLine="0" autoPict="0">
                <anchor moveWithCells="1">
                  <from>
                    <xdr:col>8</xdr:col>
                    <xdr:colOff>152400</xdr:colOff>
                    <xdr:row>16</xdr:row>
                    <xdr:rowOff>180975</xdr:rowOff>
                  </from>
                  <to>
                    <xdr:col>8</xdr:col>
                    <xdr:colOff>514350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31E19-8AF0-4178-8B07-3F3B9A9EE270}">
  <sheetPr codeName="Sheet3">
    <tabColor rgb="FF002060"/>
  </sheetPr>
  <dimension ref="A2:K27"/>
  <sheetViews>
    <sheetView zoomScale="130" zoomScaleNormal="130" workbookViewId="0">
      <selection activeCell="H17" sqref="H17"/>
    </sheetView>
  </sheetViews>
  <sheetFormatPr defaultColWidth="9.140625" defaultRowHeight="15" x14ac:dyDescent="0.25"/>
  <cols>
    <col min="1" max="1" width="9.140625" style="53"/>
    <col min="2" max="2" width="17.28515625" style="54" bestFit="1" customWidth="1"/>
    <col min="3" max="3" width="12.7109375" style="55" bestFit="1" customWidth="1"/>
    <col min="4" max="4" width="17.7109375" style="56" bestFit="1" customWidth="1"/>
    <col min="5" max="5" width="23.140625" style="57" bestFit="1" customWidth="1"/>
    <col min="6" max="7" width="15.85546875" style="58" bestFit="1" customWidth="1"/>
    <col min="8" max="8" width="15.85546875" style="59" bestFit="1" customWidth="1"/>
    <col min="9" max="10" width="14.5703125" style="60" bestFit="1" customWidth="1"/>
    <col min="11" max="11" width="15.42578125" style="60" bestFit="1" customWidth="1"/>
    <col min="12" max="16384" width="9.140625" style="61"/>
  </cols>
  <sheetData>
    <row r="2" spans="1:11" ht="21" x14ac:dyDescent="0.25">
      <c r="B2" s="188" t="s">
        <v>62</v>
      </c>
    </row>
    <row r="3" spans="1:11" s="197" customFormat="1" ht="15.75" x14ac:dyDescent="0.25">
      <c r="A3" s="189"/>
      <c r="B3" s="190" t="s">
        <v>5</v>
      </c>
      <c r="C3" s="191"/>
      <c r="D3" s="192"/>
      <c r="E3" s="193"/>
      <c r="F3" s="194"/>
      <c r="G3" s="194"/>
      <c r="H3" s="195"/>
      <c r="I3" s="196"/>
      <c r="J3" s="196"/>
      <c r="K3" s="196"/>
    </row>
    <row r="4" spans="1:11" x14ac:dyDescent="0.25">
      <c r="B4" s="20" t="s">
        <v>0</v>
      </c>
      <c r="C4" s="2" t="s">
        <v>1</v>
      </c>
      <c r="D4" s="6" t="s">
        <v>34</v>
      </c>
      <c r="E4" s="3" t="s">
        <v>4</v>
      </c>
      <c r="F4" s="4" t="s">
        <v>3</v>
      </c>
      <c r="G4" s="4" t="s">
        <v>2</v>
      </c>
      <c r="H4" s="4" t="s">
        <v>23</v>
      </c>
      <c r="I4" s="2" t="s">
        <v>22</v>
      </c>
      <c r="J4" s="2" t="s">
        <v>25</v>
      </c>
      <c r="K4" s="2" t="s">
        <v>24</v>
      </c>
    </row>
    <row r="5" spans="1:11" x14ac:dyDescent="0.25">
      <c r="B5" s="20"/>
      <c r="C5" s="2"/>
      <c r="D5" s="5"/>
      <c r="E5" s="3" t="b">
        <v>0</v>
      </c>
      <c r="F5" s="4"/>
      <c r="G5" s="4"/>
      <c r="H5" s="4">
        <f ca="1">NextDate(CalcDate,INCann[[#This Row],[Start Date]],INCann[[#This Row],[End Date]],"A")</f>
        <v>44560</v>
      </c>
      <c r="I5" s="2">
        <f ca="1">Annual(INCann[[#This Row],[Amount]],CalcDate,INCann[[#This Row],[NEXT DUE]])</f>
        <v>0</v>
      </c>
      <c r="J5" s="2">
        <f>INCann[[#This Row],[Amount]]/365</f>
        <v>0</v>
      </c>
      <c r="K5" s="2">
        <f ca="1">ProjAnn(INCann[[#This Row],[Amount]],INCann[[#This Row],[Start Date]],INCann[[#This Row],[End Date]],CalcDate,ProjDate)</f>
        <v>0</v>
      </c>
    </row>
    <row r="6" spans="1:11" x14ac:dyDescent="0.25">
      <c r="B6" t="s">
        <v>39</v>
      </c>
      <c r="C6" s="2">
        <f>SUBTOTAL(109,INCann[Amount])</f>
        <v>0</v>
      </c>
      <c r="D6" s="3"/>
      <c r="E6" s="3"/>
      <c r="F6" s="3"/>
      <c r="G6" s="3"/>
      <c r="H6" s="3"/>
      <c r="I6" s="2">
        <f ca="1">SUBTOTAL(109,INCann[REQUIRED])</f>
        <v>0</v>
      </c>
      <c r="J6" s="2">
        <f>SUBTOTAL(109,INCann[RATE/DAY])</f>
        <v>0</v>
      </c>
      <c r="K6" s="2">
        <f ca="1">SUBTOTAL(109,INCann[PROJECTED])</f>
        <v>0</v>
      </c>
    </row>
    <row r="7" spans="1:11" s="197" customFormat="1" ht="15.75" x14ac:dyDescent="0.25">
      <c r="A7" s="189"/>
      <c r="B7" s="190" t="s">
        <v>6</v>
      </c>
      <c r="C7" s="191"/>
      <c r="D7" s="192"/>
      <c r="E7" s="193"/>
      <c r="F7" s="194"/>
      <c r="G7" s="194"/>
      <c r="H7" s="195"/>
      <c r="I7" s="196"/>
      <c r="J7" s="196"/>
      <c r="K7" s="196"/>
    </row>
    <row r="8" spans="1:11" x14ac:dyDescent="0.25">
      <c r="B8" s="20" t="s">
        <v>0</v>
      </c>
      <c r="C8" s="2" t="s">
        <v>1</v>
      </c>
      <c r="D8" s="6" t="s">
        <v>28</v>
      </c>
      <c r="E8" s="3" t="s">
        <v>4</v>
      </c>
      <c r="F8" s="4" t="s">
        <v>3</v>
      </c>
      <c r="G8" s="4" t="s">
        <v>2</v>
      </c>
      <c r="H8" s="4" t="s">
        <v>23</v>
      </c>
      <c r="I8" s="206" t="s">
        <v>22</v>
      </c>
      <c r="J8" s="206" t="s">
        <v>25</v>
      </c>
      <c r="K8" s="206" t="s">
        <v>24</v>
      </c>
    </row>
    <row r="9" spans="1:11" x14ac:dyDescent="0.25">
      <c r="B9" s="20"/>
      <c r="C9" s="2"/>
      <c r="D9" s="6"/>
      <c r="E9" s="3" t="b">
        <v>1</v>
      </c>
      <c r="F9" s="4"/>
      <c r="G9" s="4"/>
      <c r="H9" s="4">
        <f ca="1">NextDate(CalcDate,INCmon[[#This Row],[Start Date]],INCmon[[#This Row],[End Date]],"M",INCmon[[#This Row],[Day of Month]])</f>
        <v>44227</v>
      </c>
      <c r="I9" s="2">
        <f ca="1">Monthly(INCmon[[#This Row],[Amount]],INCmon[[#This Row],[Day of Month]],CalcDate,INCmon[[#This Row],[NEXT DUE]])</f>
        <v>0</v>
      </c>
      <c r="J9" s="2">
        <f>INCmon[[#This Row],[Amount]]*12/365</f>
        <v>0</v>
      </c>
      <c r="K9" s="2">
        <f ca="1">ProjMon(INCmon[[#This Row],[Amount]],INCmon[[#This Row],[Day of Month]],INCmon[[#This Row],[Start Date]],INCmon[[#This Row],[End Date]],CalcDate,ProjDate)</f>
        <v>0</v>
      </c>
    </row>
    <row r="10" spans="1:11" x14ac:dyDescent="0.25">
      <c r="B10" s="20" t="s">
        <v>39</v>
      </c>
      <c r="C10" s="2">
        <f>SUBTOTAL(109,INCmon[Amount])</f>
        <v>0</v>
      </c>
      <c r="D10" s="3"/>
      <c r="E10" s="3"/>
      <c r="F10" s="3"/>
      <c r="G10" s="3"/>
      <c r="H10" s="3"/>
      <c r="I10" s="2">
        <f ca="1">SUBTOTAL(109,INCmon[REQUIRED])</f>
        <v>0</v>
      </c>
      <c r="J10" s="2">
        <f>SUBTOTAL(109,INCmon[RATE/DAY])</f>
        <v>0</v>
      </c>
      <c r="K10" s="2">
        <f ca="1">SUBTOTAL(109,INCmon[PROJECTED])</f>
        <v>0</v>
      </c>
    </row>
    <row r="11" spans="1:11" s="197" customFormat="1" ht="15.75" x14ac:dyDescent="0.25">
      <c r="A11" s="189"/>
      <c r="B11" s="190" t="s">
        <v>26</v>
      </c>
      <c r="C11" s="191"/>
      <c r="D11" s="192"/>
      <c r="E11" s="193"/>
      <c r="F11" s="194"/>
      <c r="G11" s="194"/>
      <c r="H11" s="195"/>
      <c r="I11" s="196"/>
      <c r="J11" s="196"/>
      <c r="K11" s="196"/>
    </row>
    <row r="12" spans="1:11" x14ac:dyDescent="0.25">
      <c r="B12" s="20" t="s">
        <v>0</v>
      </c>
      <c r="C12" s="2" t="s">
        <v>1</v>
      </c>
      <c r="D12" s="6" t="s">
        <v>29</v>
      </c>
      <c r="E12" s="3" t="s">
        <v>4</v>
      </c>
      <c r="F12" s="4" t="s">
        <v>3</v>
      </c>
      <c r="G12" s="4" t="s">
        <v>2</v>
      </c>
      <c r="H12" s="4" t="s">
        <v>23</v>
      </c>
      <c r="I12" s="206" t="s">
        <v>22</v>
      </c>
      <c r="J12" s="206" t="s">
        <v>25</v>
      </c>
      <c r="K12" s="206" t="s">
        <v>24</v>
      </c>
    </row>
    <row r="13" spans="1:11" x14ac:dyDescent="0.25">
      <c r="B13" s="20"/>
      <c r="C13" s="2"/>
      <c r="D13" s="7"/>
      <c r="E13" s="3" t="b">
        <v>0</v>
      </c>
      <c r="F13" s="4"/>
      <c r="G13" s="4"/>
      <c r="H13" s="4">
        <f ca="1">NextDate(CalcDate,INCbi[[#This Row],[Start Date]],INCbi[[#This Row],[End Date]],"B",INCbi[[#This Row],[Day of Week]])</f>
        <v>44235</v>
      </c>
      <c r="I13" s="2">
        <f ca="1">BiWeekly(INCbi[[#This Row],[Amount]],INCbi[[#This Row],[Day of Week]],CalcDate,INCbi[[#This Row],[NEXT DUE]])</f>
        <v>0</v>
      </c>
      <c r="J13" s="2">
        <f>INCbi[[#This Row],[Amount]]/14</f>
        <v>0</v>
      </c>
      <c r="K13" s="2">
        <f ca="1">ProjBi(INCbi[[#This Row],[Amount]],INCbi[[#This Row],[Day of Week]],INCbi[[#This Row],[Start Date]],INCbi[[#This Row],[End Date]],CalcDate,ProjDate)</f>
        <v>0</v>
      </c>
    </row>
    <row r="14" spans="1:11" x14ac:dyDescent="0.25">
      <c r="B14" s="20" t="s">
        <v>39</v>
      </c>
      <c r="C14" s="2">
        <f>SUBTOTAL(109,INCbi[Amount])</f>
        <v>0</v>
      </c>
      <c r="D14" s="3"/>
      <c r="E14" s="3"/>
      <c r="F14" s="3"/>
      <c r="G14" s="3"/>
      <c r="H14" s="3"/>
      <c r="I14" s="2">
        <f ca="1">SUBTOTAL(109,INCbi[REQUIRED])</f>
        <v>0</v>
      </c>
      <c r="J14" s="2">
        <f>SUBTOTAL(109,INCbi[RATE/DAY])</f>
        <v>0</v>
      </c>
      <c r="K14" s="2">
        <f ca="1">SUBTOTAL(109,INCbi[PROJECTED])</f>
        <v>0</v>
      </c>
    </row>
    <row r="15" spans="1:11" s="197" customFormat="1" ht="15.75" x14ac:dyDescent="0.25">
      <c r="A15" s="189"/>
      <c r="B15" s="190" t="s">
        <v>27</v>
      </c>
      <c r="C15" s="191"/>
      <c r="D15" s="192"/>
      <c r="E15" s="193"/>
      <c r="F15" s="194"/>
      <c r="G15" s="194"/>
      <c r="H15" s="195"/>
      <c r="I15" s="196"/>
      <c r="J15" s="196"/>
      <c r="K15" s="196"/>
    </row>
    <row r="16" spans="1:11" x14ac:dyDescent="0.25">
      <c r="B16" s="20" t="s">
        <v>0</v>
      </c>
      <c r="C16" s="2" t="s">
        <v>1</v>
      </c>
      <c r="D16" s="6" t="s">
        <v>29</v>
      </c>
      <c r="E16" s="3" t="s">
        <v>4</v>
      </c>
      <c r="F16" s="4" t="s">
        <v>3</v>
      </c>
      <c r="G16" s="4" t="s">
        <v>2</v>
      </c>
      <c r="H16" s="4" t="s">
        <v>23</v>
      </c>
      <c r="I16" s="206" t="s">
        <v>22</v>
      </c>
      <c r="J16" s="206" t="s">
        <v>25</v>
      </c>
      <c r="K16" s="206" t="s">
        <v>24</v>
      </c>
    </row>
    <row r="17" spans="1:11" x14ac:dyDescent="0.25">
      <c r="B17" s="20" t="s">
        <v>66</v>
      </c>
      <c r="C17" s="2">
        <v>800</v>
      </c>
      <c r="D17" s="7">
        <v>6</v>
      </c>
      <c r="E17" s="3" t="b">
        <v>0</v>
      </c>
      <c r="F17" s="4">
        <v>43833</v>
      </c>
      <c r="G17" s="4"/>
      <c r="H17" s="4">
        <f ca="1">NextDate(CalcDate,INCwk[[#This Row],[Start Date]],INCwk[[#This Row],[End Date]],"w",INCwk[[#This Row],[Day of Week]])</f>
        <v>44232</v>
      </c>
      <c r="I17" s="2">
        <f ca="1">Weekly(INCwk[[#This Row],[Amount]],INCwk[[#This Row],[Day of Week]],CalcDate,INCwk[[#This Row],[NEXT DUE]])</f>
        <v>457.14285714285717</v>
      </c>
      <c r="J17" s="2">
        <f>INCwk[[#This Row],[Amount]]/7</f>
        <v>114.28571428571429</v>
      </c>
      <c r="K17" s="2">
        <f ca="1">ProjWk(INCwk[[#This Row],[Amount]],INCwk[[#This Row],[Day of Week]],INCwk[[#This Row],[Start Date]],INCwk[[#This Row],[End Date]],CalcDate,ProjDate)</f>
        <v>38514.285714285717</v>
      </c>
    </row>
    <row r="18" spans="1:11" x14ac:dyDescent="0.25">
      <c r="B18" s="20" t="s">
        <v>98</v>
      </c>
      <c r="C18" s="2">
        <v>20</v>
      </c>
      <c r="D18" s="7">
        <v>3</v>
      </c>
      <c r="E18" s="3" t="b">
        <v>0</v>
      </c>
      <c r="F18" s="4">
        <v>43837</v>
      </c>
      <c r="G18" s="4">
        <v>43922</v>
      </c>
      <c r="H18" s="4">
        <f ca="1">NextDate(CalcDate,INCwk[[#This Row],[Start Date]],INCwk[[#This Row],[End Date]],"w",INCwk[[#This Row],[Day of Week]])</f>
        <v>43921</v>
      </c>
      <c r="I18" s="2">
        <f ca="1">Weekly(INCwk[[#This Row],[Amount]],INCwk[[#This Row],[Day of Week]],CalcDate,INCwk[[#This Row],[NEXT DUE]])</f>
        <v>0</v>
      </c>
      <c r="J18" s="2">
        <f>INCwk[[#This Row],[Amount]]/7</f>
        <v>2.8571428571428572</v>
      </c>
      <c r="K18" s="2">
        <f ca="1">ProjWk(INCwk[[#This Row],[Amount]],INCwk[[#This Row],[Day of Week]],INCwk[[#This Row],[Start Date]],INCwk[[#This Row],[End Date]],CalcDate,ProjDate)</f>
        <v>0</v>
      </c>
    </row>
    <row r="19" spans="1:11" x14ac:dyDescent="0.25">
      <c r="B19" s="20" t="s">
        <v>39</v>
      </c>
      <c r="C19" s="2">
        <f>SUBTOTAL(109,INCwk[Amount])</f>
        <v>820</v>
      </c>
      <c r="D19" s="3"/>
      <c r="E19" s="3"/>
      <c r="F19" s="3"/>
      <c r="G19" s="3"/>
      <c r="H19" s="3"/>
      <c r="I19" s="2">
        <f ca="1">SUBTOTAL(109,INCwk[REQUIRED])</f>
        <v>457.14285714285717</v>
      </c>
      <c r="J19" s="2">
        <f>SUBTOTAL(109,INCwk[RATE/DAY])</f>
        <v>117.14285714285715</v>
      </c>
      <c r="K19" s="2">
        <f ca="1">SUBTOTAL(109,INCwk[PROJECTED])</f>
        <v>38514.285714285717</v>
      </c>
    </row>
    <row r="20" spans="1:11" s="197" customFormat="1" ht="15.75" x14ac:dyDescent="0.25">
      <c r="A20" s="189"/>
      <c r="B20" s="190" t="s">
        <v>30</v>
      </c>
      <c r="C20" s="191"/>
      <c r="D20" s="192"/>
      <c r="E20" s="193"/>
      <c r="F20" s="194"/>
      <c r="G20" s="194"/>
      <c r="H20" s="195"/>
      <c r="I20" s="196"/>
      <c r="J20" s="196"/>
      <c r="K20" s="196"/>
    </row>
    <row r="21" spans="1:11" x14ac:dyDescent="0.25">
      <c r="B21" s="20" t="s">
        <v>0</v>
      </c>
      <c r="C21" s="2" t="s">
        <v>1</v>
      </c>
      <c r="D21" s="6" t="s">
        <v>29</v>
      </c>
      <c r="E21" s="3" t="s">
        <v>31</v>
      </c>
      <c r="F21" s="4" t="s">
        <v>3</v>
      </c>
      <c r="G21" s="4" t="s">
        <v>2</v>
      </c>
      <c r="H21" s="4" t="s">
        <v>23</v>
      </c>
      <c r="I21" s="206" t="s">
        <v>22</v>
      </c>
      <c r="J21" s="206" t="s">
        <v>25</v>
      </c>
      <c r="K21" s="206" t="s">
        <v>24</v>
      </c>
    </row>
    <row r="22" spans="1:11" x14ac:dyDescent="0.25">
      <c r="B22" s="20" t="s">
        <v>45</v>
      </c>
      <c r="C22" s="2"/>
      <c r="D22" s="7"/>
      <c r="E22" s="3"/>
      <c r="F22" s="4"/>
      <c r="G22" s="4"/>
      <c r="H22" s="4"/>
      <c r="I22" s="2"/>
      <c r="J22" s="2"/>
      <c r="K22" s="2"/>
    </row>
    <row r="23" spans="1:11" x14ac:dyDescent="0.25">
      <c r="B23" s="20" t="s">
        <v>39</v>
      </c>
      <c r="C23" s="2">
        <f>SUBTOTAL(109,INCterm[Amount])</f>
        <v>0</v>
      </c>
      <c r="D23" s="3"/>
      <c r="E23" s="3"/>
      <c r="F23" s="3"/>
      <c r="G23" s="3"/>
      <c r="H23" s="3"/>
      <c r="I23" s="2">
        <f>SUBTOTAL(109,INCterm[REQUIRED])</f>
        <v>0</v>
      </c>
      <c r="J23" s="2">
        <f>SUBTOTAL(109,INCterm[RATE/DAY])</f>
        <v>0</v>
      </c>
      <c r="K23" s="2">
        <f>SUBTOTAL(109,INCterm[PROJECTED])</f>
        <v>0</v>
      </c>
    </row>
    <row r="24" spans="1:11" s="197" customFormat="1" ht="15.75" x14ac:dyDescent="0.25">
      <c r="A24" s="189"/>
      <c r="B24" s="190" t="s">
        <v>32</v>
      </c>
      <c r="C24" s="191"/>
      <c r="D24" s="192"/>
      <c r="E24" s="193"/>
      <c r="F24" s="194"/>
      <c r="G24" s="194"/>
      <c r="H24" s="195"/>
      <c r="I24" s="196"/>
      <c r="J24" s="196"/>
      <c r="K24" s="196"/>
    </row>
    <row r="25" spans="1:11" x14ac:dyDescent="0.25">
      <c r="B25" s="20" t="s">
        <v>0</v>
      </c>
      <c r="C25" s="2" t="s">
        <v>1</v>
      </c>
      <c r="D25" s="6" t="s">
        <v>33</v>
      </c>
      <c r="E25" s="3" t="s">
        <v>4</v>
      </c>
      <c r="F25" s="4" t="s">
        <v>3</v>
      </c>
      <c r="G25" s="4" t="s">
        <v>2</v>
      </c>
      <c r="H25" s="4" t="s">
        <v>23</v>
      </c>
      <c r="I25" s="206" t="s">
        <v>22</v>
      </c>
      <c r="J25" s="206" t="s">
        <v>25</v>
      </c>
      <c r="K25" s="206" t="s">
        <v>24</v>
      </c>
    </row>
    <row r="26" spans="1:11" x14ac:dyDescent="0.25">
      <c r="B26" s="20" t="s">
        <v>99</v>
      </c>
      <c r="C26" s="2">
        <v>80</v>
      </c>
      <c r="D26" s="6">
        <v>28</v>
      </c>
      <c r="E26" s="3" t="b">
        <v>0</v>
      </c>
      <c r="F26" s="4">
        <v>42961</v>
      </c>
      <c r="G26" s="4"/>
      <c r="H26" s="4">
        <f ca="1">NextDate(CalcDate,INCreg[[#This Row],[Start Date]],INCreg[[#This Row],[End Date]],INCreg[[#This Row],[Period (Days)]])</f>
        <v>44249</v>
      </c>
      <c r="I26" s="2">
        <f ca="1">Regular(INCreg[[#This Row],[Amount]],INCreg[[#This Row],[Period (Days)]],CalcDate,INCreg[[#This Row],[NEXT DUE]])</f>
        <v>22.857142857142858</v>
      </c>
      <c r="J26" s="2">
        <f>INCreg[[#This Row],[Amount]]/INCreg[[#This Row],[Period (Days)]]</f>
        <v>2.8571428571428572</v>
      </c>
      <c r="K26" s="2">
        <f ca="1">ProjReg(INCreg[[#This Row],[Amount]],INCreg[[#This Row],[Period (Days)]],INCreg[[#This Row],[Start Date]],INCreg[[#This Row],[End Date]],CalcDate,ProjDate)</f>
        <v>974.28571428571433</v>
      </c>
    </row>
    <row r="27" spans="1:11" x14ac:dyDescent="0.25">
      <c r="B27" s="20" t="s">
        <v>39</v>
      </c>
      <c r="C27" s="2">
        <f>SUBTOTAL(109,INCreg[Amount])</f>
        <v>80</v>
      </c>
      <c r="D27" s="3"/>
      <c r="E27" s="3"/>
      <c r="F27" s="3"/>
      <c r="G27" s="3"/>
      <c r="H27" s="3"/>
      <c r="I27" s="2">
        <f ca="1">SUBTOTAL(109,INCreg[REQUIRED])</f>
        <v>22.857142857142858</v>
      </c>
      <c r="J27" s="2">
        <f>SUBTOTAL(109,INCreg[RATE/DAY])</f>
        <v>2.8571428571428572</v>
      </c>
      <c r="K27" s="2">
        <f ca="1">SUBTOTAL(109,INCreg[PROJECTED])</f>
        <v>974.28571428571433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E41F5-8345-4AB3-ACD5-08F9C5B3CE54}">
  <sheetPr codeName="Sheet4">
    <tabColor rgb="FFC00000"/>
  </sheetPr>
  <dimension ref="A1:M34"/>
  <sheetViews>
    <sheetView zoomScaleNormal="100" workbookViewId="0"/>
  </sheetViews>
  <sheetFormatPr defaultColWidth="9.140625" defaultRowHeight="15" x14ac:dyDescent="0.25"/>
  <cols>
    <col min="1" max="1" width="9.140625" style="28"/>
    <col min="2" max="2" width="24.28515625" style="35" bestFit="1" customWidth="1"/>
    <col min="3" max="3" width="12.7109375" style="29" bestFit="1" customWidth="1"/>
    <col min="4" max="4" width="17.7109375" style="30" bestFit="1" customWidth="1"/>
    <col min="5" max="5" width="23.140625" style="30" bestFit="1" customWidth="1"/>
    <col min="6" max="6" width="15.85546875" style="31" bestFit="1" customWidth="1"/>
    <col min="7" max="7" width="15" style="32" bestFit="1" customWidth="1"/>
    <col min="8" max="8" width="16" style="25" bestFit="1" customWidth="1"/>
    <col min="9" max="9" width="15.42578125" style="24" bestFit="1" customWidth="1"/>
    <col min="10" max="10" width="14.5703125" style="24" bestFit="1" customWidth="1"/>
    <col min="11" max="11" width="15.85546875" style="24" bestFit="1" customWidth="1"/>
    <col min="12" max="12" width="9.140625" style="26"/>
    <col min="13" max="13" width="14.5703125" style="26" bestFit="1" customWidth="1"/>
    <col min="14" max="14" width="11.28515625" style="26" bestFit="1" customWidth="1"/>
    <col min="15" max="16384" width="9.140625" style="26"/>
  </cols>
  <sheetData>
    <row r="1" spans="2:11" ht="26.25" x14ac:dyDescent="0.25">
      <c r="B1" s="187" t="s">
        <v>20</v>
      </c>
      <c r="H1" s="274" t="s">
        <v>35</v>
      </c>
      <c r="I1" s="275">
        <f ca="1">CalcDate</f>
        <v>44228</v>
      </c>
      <c r="J1" s="276" t="s">
        <v>36</v>
      </c>
      <c r="K1" s="277">
        <f>ProjDate</f>
        <v>44561</v>
      </c>
    </row>
    <row r="2" spans="2:11" ht="15.75" x14ac:dyDescent="0.25">
      <c r="B2" s="33" t="s">
        <v>5</v>
      </c>
    </row>
    <row r="3" spans="2:11" x14ac:dyDescent="0.25">
      <c r="B3" s="240" t="s">
        <v>0</v>
      </c>
      <c r="C3" s="206" t="s">
        <v>1</v>
      </c>
      <c r="D3" s="208" t="s">
        <v>34</v>
      </c>
      <c r="E3" s="208" t="s">
        <v>4</v>
      </c>
      <c r="F3" s="241" t="s">
        <v>3</v>
      </c>
      <c r="G3" s="241" t="s">
        <v>2</v>
      </c>
      <c r="H3" s="242" t="s">
        <v>23</v>
      </c>
      <c r="I3" s="243" t="s">
        <v>22</v>
      </c>
      <c r="J3" s="206" t="s">
        <v>25</v>
      </c>
      <c r="K3" s="243" t="s">
        <v>24</v>
      </c>
    </row>
    <row r="4" spans="2:11" x14ac:dyDescent="0.25">
      <c r="B4" s="1" t="s">
        <v>100</v>
      </c>
      <c r="C4" s="2">
        <v>600</v>
      </c>
      <c r="D4" s="5">
        <v>44228</v>
      </c>
      <c r="E4" s="3" t="b">
        <v>0</v>
      </c>
      <c r="F4" s="8">
        <v>43497</v>
      </c>
      <c r="G4" s="4"/>
      <c r="H4" s="4">
        <f ca="1">NextDate(CalcDate,EXPann[[#This Row],[Start Date]],EXPann[[#This Row],[End Date]],"A")</f>
        <v>44593</v>
      </c>
      <c r="I4" s="2">
        <f ca="1">Annual(EXPann[[#This Row],[Amount]],CalcDate,EXPann[[#This Row],[NEXT DUE]])</f>
        <v>1.6438356164383561</v>
      </c>
      <c r="J4" s="2">
        <f>EXPann[[#This Row],[Amount]]/365</f>
        <v>1.6438356164383561</v>
      </c>
      <c r="K4" s="2">
        <f ca="1">ProjAnn(EXPann[[#This Row],[Amount]],EXPann[[#This Row],[Start Date]],EXPann[[#This Row],[End Date]],CalcDate,ProjDate)</f>
        <v>549.04109589041093</v>
      </c>
    </row>
    <row r="5" spans="2:11" x14ac:dyDescent="0.25">
      <c r="B5" s="1" t="s">
        <v>37</v>
      </c>
      <c r="C5" s="2">
        <v>400</v>
      </c>
      <c r="D5" s="5">
        <v>44316</v>
      </c>
      <c r="E5" s="3" t="b">
        <v>0</v>
      </c>
      <c r="F5" s="8">
        <v>43585</v>
      </c>
      <c r="G5" s="4"/>
      <c r="H5" s="4">
        <f ca="1">NextDate(CalcDate,EXPann[[#This Row],[Start Date]],EXPann[[#This Row],[End Date]],"A")</f>
        <v>44316</v>
      </c>
      <c r="I5" s="2">
        <f ca="1">Annual(EXPann[[#This Row],[Amount]],CalcDate,EXPann[[#This Row],[NEXT DUE]])</f>
        <v>304.65753424657532</v>
      </c>
      <c r="J5" s="2">
        <f>EXPann[[#This Row],[Amount]]/365</f>
        <v>1.095890410958904</v>
      </c>
      <c r="K5" s="2">
        <f ca="1">ProjAnn(EXPann[[#This Row],[Amount]],EXPann[[#This Row],[Start Date]],EXPann[[#This Row],[End Date]],CalcDate,ProjDate)</f>
        <v>669.58904109589037</v>
      </c>
    </row>
    <row r="6" spans="2:11" x14ac:dyDescent="0.25">
      <c r="B6" s="1" t="s">
        <v>38</v>
      </c>
      <c r="C6" s="2">
        <v>3000</v>
      </c>
      <c r="D6" s="5">
        <f>F6</f>
        <v>43952</v>
      </c>
      <c r="E6" s="3" t="b">
        <v>0</v>
      </c>
      <c r="F6" s="8">
        <v>43952</v>
      </c>
      <c r="G6" s="4"/>
      <c r="H6" s="4">
        <f ca="1">NextDate(CalcDate,EXPann[[#This Row],[Start Date]],EXPann[[#This Row],[End Date]],"A")</f>
        <v>44317</v>
      </c>
      <c r="I6" s="2">
        <f ca="1">Annual(EXPann[[#This Row],[Amount]],CalcDate,EXPann[[#This Row],[NEXT DUE]])</f>
        <v>2276.7123287671234</v>
      </c>
      <c r="J6" s="2">
        <f>EXPann[[#This Row],[Amount]]/365</f>
        <v>8.2191780821917817</v>
      </c>
      <c r="K6" s="2">
        <f ca="1">ProjAnn(EXPann[[#This Row],[Amount]],EXPann[[#This Row],[Start Date]],EXPann[[#This Row],[End Date]],CalcDate,ProjDate)</f>
        <v>5013.6986301369861</v>
      </c>
    </row>
    <row r="7" spans="2:11" x14ac:dyDescent="0.25">
      <c r="B7" s="1" t="s">
        <v>39</v>
      </c>
      <c r="C7" s="2">
        <f>SUBTOTAL(109,EXPann[Amount])</f>
        <v>4000</v>
      </c>
      <c r="D7" s="3"/>
      <c r="E7" s="3"/>
      <c r="F7" s="3"/>
      <c r="G7" s="3"/>
      <c r="H7" s="3"/>
      <c r="I7" s="2">
        <f ca="1">SUBTOTAL(109,EXPann[REQUIRED])</f>
        <v>2583.0136986301372</v>
      </c>
      <c r="J7" s="2">
        <f>SUBTOTAL(109,EXPann[RATE/DAY])</f>
        <v>10.958904109589042</v>
      </c>
      <c r="K7" s="2">
        <f ca="1">SUBTOTAL(109,EXPann[PROJECTED])</f>
        <v>6232.3287671232874</v>
      </c>
    </row>
    <row r="8" spans="2:11" ht="15.75" x14ac:dyDescent="0.25">
      <c r="B8" s="33" t="s">
        <v>6</v>
      </c>
      <c r="E8" s="34"/>
      <c r="I8" s="27"/>
      <c r="J8" s="27"/>
      <c r="K8" s="27"/>
    </row>
    <row r="9" spans="2:11" x14ac:dyDescent="0.25">
      <c r="B9" s="240" t="s">
        <v>0</v>
      </c>
      <c r="C9" s="206" t="s">
        <v>1</v>
      </c>
      <c r="D9" s="208" t="s">
        <v>28</v>
      </c>
      <c r="E9" s="208" t="s">
        <v>4</v>
      </c>
      <c r="F9" s="241" t="s">
        <v>3</v>
      </c>
      <c r="G9" s="241" t="s">
        <v>2</v>
      </c>
      <c r="H9" s="242" t="s">
        <v>23</v>
      </c>
      <c r="I9" s="243" t="s">
        <v>22</v>
      </c>
      <c r="J9" s="206" t="s">
        <v>25</v>
      </c>
      <c r="K9" s="243" t="s">
        <v>24</v>
      </c>
    </row>
    <row r="10" spans="2:11" x14ac:dyDescent="0.25">
      <c r="B10" s="1" t="s">
        <v>40</v>
      </c>
      <c r="C10" s="2">
        <v>800</v>
      </c>
      <c r="D10" s="6">
        <v>11</v>
      </c>
      <c r="E10" s="3" t="b">
        <v>1</v>
      </c>
      <c r="F10" s="4">
        <v>43962</v>
      </c>
      <c r="G10" s="4"/>
      <c r="H10" s="4">
        <f ca="1">NextDate(CalcDate,EXPmon[[#This Row],[Start Date]],EXPmon[[#This Row],[End Date]],"M",EXPmon[[#This Row],[Day of Month]])</f>
        <v>44238</v>
      </c>
      <c r="I10" s="2">
        <f ca="1">Monthly(EXPmon[[#This Row],[Amount]],EXPmon[[#This Row],[Day of Month]],CalcDate,EXPmon[[#This Row],[NEXT DUE]])</f>
        <v>567.74193548387098</v>
      </c>
      <c r="J10" s="2">
        <f>EXPmon[[#This Row],[Amount]]*12/365</f>
        <v>26.301369863013697</v>
      </c>
      <c r="K10" s="2">
        <f ca="1">ProjMon(EXPmon[[#This Row],[Amount]],EXPmon[[#This Row],[Day of Month]],EXPmon[[#This Row],[Start Date]],EXPmon[[#This Row],[End Date]],CalcDate,ProjDate)</f>
        <v>9341.9354838709678</v>
      </c>
    </row>
    <row r="11" spans="2:11" x14ac:dyDescent="0.25">
      <c r="B11" s="1" t="s">
        <v>101</v>
      </c>
      <c r="C11" s="2">
        <v>100</v>
      </c>
      <c r="D11" s="6">
        <v>28</v>
      </c>
      <c r="E11" s="3" t="b">
        <v>1</v>
      </c>
      <c r="F11" s="4"/>
      <c r="G11" s="4"/>
      <c r="H11" s="4">
        <f ca="1">NextDate(CalcDate,EXPmon[[#This Row],[Start Date]],EXPmon[[#This Row],[End Date]],"M",EXPmon[[#This Row],[Day of Month]])</f>
        <v>44255</v>
      </c>
      <c r="I11" s="2">
        <f ca="1">Monthly(EXPmon[[#This Row],[Amount]],EXPmon[[#This Row],[Day of Month]],CalcDate,EXPmon[[#This Row],[NEXT DUE]])</f>
        <v>16.129032258064516</v>
      </c>
      <c r="J11" s="2">
        <f>EXPmon[[#This Row],[Amount]]*12/365</f>
        <v>3.2876712328767121</v>
      </c>
      <c r="K11" s="2">
        <f ca="1">ProjMon(EXPmon[[#This Row],[Amount]],EXPmon[[#This Row],[Day of Month]],EXPmon[[#This Row],[Start Date]],EXPmon[[#This Row],[End Date]],CalcDate,ProjDate)</f>
        <v>1112.9032258064517</v>
      </c>
    </row>
    <row r="12" spans="2:11" x14ac:dyDescent="0.25">
      <c r="B12" s="1" t="s">
        <v>41</v>
      </c>
      <c r="C12" s="2">
        <v>40</v>
      </c>
      <c r="D12" s="6">
        <v>5</v>
      </c>
      <c r="E12" s="3" t="b">
        <v>0</v>
      </c>
      <c r="F12" s="4"/>
      <c r="G12" s="4"/>
      <c r="H12" s="4">
        <f ca="1">NextDate(CalcDate,EXPmon[[#This Row],[Start Date]],EXPmon[[#This Row],[End Date]],"M",EXPmon[[#This Row],[Day of Month]])</f>
        <v>44232</v>
      </c>
      <c r="I12" s="2">
        <f ca="1">Monthly(EXPmon[[#This Row],[Amount]],EXPmon[[#This Row],[Day of Month]],CalcDate,EXPmon[[#This Row],[NEXT DUE]])</f>
        <v>36.12903225806452</v>
      </c>
      <c r="J12" s="2">
        <f>EXPmon[[#This Row],[Amount]]*12/365</f>
        <v>1.3150684931506849</v>
      </c>
      <c r="K12" s="2">
        <f ca="1">ProjMon(EXPmon[[#This Row],[Amount]],EXPmon[[#This Row],[Day of Month]],EXPmon[[#This Row],[Start Date]],EXPmon[[#This Row],[End Date]],CalcDate,ProjDate)</f>
        <v>474.83870967741933</v>
      </c>
    </row>
    <row r="13" spans="2:11" x14ac:dyDescent="0.25">
      <c r="B13" s="1" t="s">
        <v>42</v>
      </c>
      <c r="C13" s="2">
        <v>40</v>
      </c>
      <c r="D13" s="6">
        <v>25</v>
      </c>
      <c r="E13" s="3" t="b">
        <v>0</v>
      </c>
      <c r="F13" s="4"/>
      <c r="G13" s="4"/>
      <c r="H13" s="4">
        <f ca="1">NextDate(CalcDate,EXPmon[[#This Row],[Start Date]],EXPmon[[#This Row],[End Date]],"M",EXPmon[[#This Row],[Day of Month]])</f>
        <v>44252</v>
      </c>
      <c r="I13" s="2">
        <f ca="1">Monthly(EXPmon[[#This Row],[Amount]],EXPmon[[#This Row],[Day of Month]],CalcDate,EXPmon[[#This Row],[NEXT DUE]])</f>
        <v>10.32258064516129</v>
      </c>
      <c r="J13" s="2">
        <f>EXPmon[[#This Row],[Amount]]*12/365</f>
        <v>1.3150684931506849</v>
      </c>
      <c r="K13" s="2">
        <f ca="1">ProjMon(EXPmon[[#This Row],[Amount]],EXPmon[[#This Row],[Day of Month]],EXPmon[[#This Row],[Start Date]],EXPmon[[#This Row],[End Date]],CalcDate,ProjDate)</f>
        <v>449.03225806451616</v>
      </c>
    </row>
    <row r="14" spans="2:11" x14ac:dyDescent="0.25">
      <c r="B14" s="1" t="s">
        <v>43</v>
      </c>
      <c r="C14" s="2">
        <v>120</v>
      </c>
      <c r="D14" s="6">
        <v>21</v>
      </c>
      <c r="E14" s="3" t="b">
        <v>0</v>
      </c>
      <c r="F14" s="4"/>
      <c r="G14" s="4"/>
      <c r="H14" s="4">
        <f ca="1">NextDate(CalcDate,EXPmon[[#This Row],[Start Date]],EXPmon[[#This Row],[End Date]],"M",EXPmon[[#This Row],[Day of Month]])</f>
        <v>44248</v>
      </c>
      <c r="I14" s="2">
        <f ca="1">Monthly(EXPmon[[#This Row],[Amount]],EXPmon[[#This Row],[Day of Month]],CalcDate,EXPmon[[#This Row],[NEXT DUE]])</f>
        <v>46.451612903225808</v>
      </c>
      <c r="J14" s="2">
        <f>EXPmon[[#This Row],[Amount]]*12/365</f>
        <v>3.9452054794520546</v>
      </c>
      <c r="K14" s="2">
        <f ca="1">ProjMon(EXPmon[[#This Row],[Amount]],EXPmon[[#This Row],[Day of Month]],EXPmon[[#This Row],[Start Date]],EXPmon[[#This Row],[End Date]],CalcDate,ProjDate)</f>
        <v>1362.5806451612902</v>
      </c>
    </row>
    <row r="15" spans="2:11" x14ac:dyDescent="0.25">
      <c r="B15" s="1" t="s">
        <v>102</v>
      </c>
      <c r="C15" s="2">
        <v>30</v>
      </c>
      <c r="D15" s="6">
        <v>10</v>
      </c>
      <c r="E15" s="3" t="b">
        <v>0</v>
      </c>
      <c r="F15" s="4"/>
      <c r="G15" s="4"/>
      <c r="H15" s="4">
        <f ca="1">NextDate(CalcDate,EXPmon[[#This Row],[Start Date]],EXPmon[[#This Row],[End Date]],"M",EXPmon[[#This Row],[Day of Month]])</f>
        <v>44237</v>
      </c>
      <c r="I15" s="2">
        <f ca="1">Monthly(EXPmon[[#This Row],[Amount]],EXPmon[[#This Row],[Day of Month]],CalcDate,EXPmon[[#This Row],[NEXT DUE]])</f>
        <v>22.258064516129032</v>
      </c>
      <c r="J15" s="2">
        <f>EXPmon[[#This Row],[Amount]]*12/365</f>
        <v>0.98630136986301364</v>
      </c>
      <c r="K15" s="2">
        <f ca="1">ProjMon(EXPmon[[#This Row],[Amount]],EXPmon[[#This Row],[Day of Month]],EXPmon[[#This Row],[Start Date]],EXPmon[[#This Row],[End Date]],CalcDate,ProjDate)</f>
        <v>351.29032258064518</v>
      </c>
    </row>
    <row r="16" spans="2:11" x14ac:dyDescent="0.25">
      <c r="B16" s="1" t="s">
        <v>39</v>
      </c>
      <c r="C16" s="2">
        <f>SUBTOTAL(109,EXPmon[Amount])</f>
        <v>1130</v>
      </c>
      <c r="D16" s="3"/>
      <c r="E16" s="3"/>
      <c r="F16" s="3"/>
      <c r="G16" s="3"/>
      <c r="H16" s="3"/>
      <c r="I16" s="2">
        <f ca="1">SUBTOTAL(109,EXPmon[REQUIRED])</f>
        <v>699.03225806451621</v>
      </c>
      <c r="J16" s="2">
        <f>SUBTOTAL(109,EXPmon[RATE/DAY])</f>
        <v>37.150684931506845</v>
      </c>
      <c r="K16" s="2">
        <f ca="1">SUBTOTAL(109,EXPmon[PROJECTED])</f>
        <v>13092.580645161292</v>
      </c>
    </row>
    <row r="17" spans="2:13" ht="15.75" x14ac:dyDescent="0.25">
      <c r="B17" s="33" t="s">
        <v>26</v>
      </c>
    </row>
    <row r="18" spans="2:13" x14ac:dyDescent="0.25">
      <c r="B18" s="240" t="s">
        <v>0</v>
      </c>
      <c r="C18" s="206" t="s">
        <v>1</v>
      </c>
      <c r="D18" s="208" t="s">
        <v>29</v>
      </c>
      <c r="E18" s="208" t="s">
        <v>4</v>
      </c>
      <c r="F18" s="241" t="s">
        <v>3</v>
      </c>
      <c r="G18" s="241" t="s">
        <v>2</v>
      </c>
      <c r="H18" s="242" t="s">
        <v>23</v>
      </c>
      <c r="I18" s="243" t="s">
        <v>22</v>
      </c>
      <c r="J18" s="206" t="s">
        <v>25</v>
      </c>
      <c r="K18" s="243" t="s">
        <v>24</v>
      </c>
    </row>
    <row r="19" spans="2:13" x14ac:dyDescent="0.25">
      <c r="B19" s="1" t="s">
        <v>103</v>
      </c>
      <c r="C19" s="2">
        <v>40</v>
      </c>
      <c r="D19" s="7">
        <v>7</v>
      </c>
      <c r="E19" s="3" t="b">
        <v>0</v>
      </c>
      <c r="F19" s="4">
        <v>43834</v>
      </c>
      <c r="G19" s="4"/>
      <c r="H19" s="4">
        <f ca="1">NextDate(CalcDate,EXPbi[[#This Row],[Start Date]],EXPbi[[#This Row],[End Date]],"B",EXPbi[[#This Row],[Day of Week]])</f>
        <v>44240</v>
      </c>
      <c r="I19" s="2">
        <f ca="1">BiWeekly(EXPbi[[#This Row],[Amount]],EXPbi[[#This Row],[Day of Week]],CalcDate,EXPbi[[#This Row],[NEXT DUE]])</f>
        <v>8.5714285714285712</v>
      </c>
      <c r="J19" s="2">
        <f>EXPbi[[#This Row],[Amount]]/14</f>
        <v>2.8571428571428572</v>
      </c>
      <c r="K19" s="2">
        <f ca="1">ProjBi(EXPbi[[#This Row],[Amount]],EXPbi[[#This Row],[Day of Week]],EXPbi[[#This Row],[Start Date]],EXPbi[[#This Row],[End Date]],CalcDate,ProjDate)</f>
        <v>960</v>
      </c>
      <c r="M19" s="265"/>
    </row>
    <row r="20" spans="2:13" x14ac:dyDescent="0.25">
      <c r="B20" s="1" t="s">
        <v>39</v>
      </c>
      <c r="C20" s="2">
        <f>SUBTOTAL(109,EXPbi[Amount])</f>
        <v>40</v>
      </c>
      <c r="D20" s="3"/>
      <c r="E20" s="3"/>
      <c r="F20" s="3"/>
      <c r="G20" s="3"/>
      <c r="H20" s="3"/>
      <c r="I20" s="2">
        <f ca="1">SUBTOTAL(109,EXPbi[REQUIRED])</f>
        <v>8.5714285714285712</v>
      </c>
      <c r="J20" s="2">
        <f>SUBTOTAL(109,EXPbi[RATE/DAY])</f>
        <v>2.8571428571428572</v>
      </c>
      <c r="K20" s="2">
        <f ca="1">SUBTOTAL(109,EXPbi[PROJECTED])</f>
        <v>960</v>
      </c>
    </row>
    <row r="21" spans="2:13" ht="15.75" x14ac:dyDescent="0.25">
      <c r="B21" s="33" t="s">
        <v>27</v>
      </c>
    </row>
    <row r="22" spans="2:13" x14ac:dyDescent="0.25">
      <c r="B22" s="240" t="s">
        <v>0</v>
      </c>
      <c r="C22" s="206" t="s">
        <v>1</v>
      </c>
      <c r="D22" s="208" t="s">
        <v>29</v>
      </c>
      <c r="E22" s="208" t="s">
        <v>4</v>
      </c>
      <c r="F22" s="241" t="s">
        <v>3</v>
      </c>
      <c r="G22" s="241" t="s">
        <v>2</v>
      </c>
      <c r="H22" s="242" t="s">
        <v>23</v>
      </c>
      <c r="I22" s="243" t="s">
        <v>22</v>
      </c>
      <c r="J22" s="206" t="s">
        <v>25</v>
      </c>
      <c r="K22" s="243" t="s">
        <v>24</v>
      </c>
    </row>
    <row r="23" spans="2:13" x14ac:dyDescent="0.25">
      <c r="B23" s="1" t="s">
        <v>104</v>
      </c>
      <c r="C23" s="2">
        <v>100</v>
      </c>
      <c r="D23" s="7">
        <v>1</v>
      </c>
      <c r="E23" s="3" t="b">
        <v>0</v>
      </c>
      <c r="F23" s="4"/>
      <c r="G23" s="4"/>
      <c r="H23" s="4">
        <f ca="1">NextDate(CalcDate,EXPwk[[#This Row],[Start Date]],EXPwk[[#This Row],[End Date]],"w",EXPwk[[#This Row],[Day of Week]])</f>
        <v>44234</v>
      </c>
      <c r="I23" s="2">
        <f ca="1">Weekly(EXPwk[[#This Row],[Amount]],EXPwk[[#This Row],[Day of Week]],CalcDate,EXPwk[[#This Row],[NEXT DUE]])</f>
        <v>28.571428571428573</v>
      </c>
      <c r="J23" s="2">
        <f>EXPwk[[#This Row],[Amount]]/7</f>
        <v>14.285714285714286</v>
      </c>
      <c r="K23" s="2">
        <f ca="1">ProjWk(EXPwk[[#This Row],[Amount]],EXPwk[[#This Row],[Day of Week]],EXPwk[[#This Row],[Start Date]],EXPwk[[#This Row],[End Date]],CalcDate,ProjDate)</f>
        <v>4785.7142857142853</v>
      </c>
      <c r="M23" s="266"/>
    </row>
    <row r="24" spans="2:13" x14ac:dyDescent="0.25">
      <c r="B24" s="1" t="s">
        <v>39</v>
      </c>
      <c r="C24" s="2">
        <f>SUBTOTAL(109,EXPwk[Amount])</f>
        <v>100</v>
      </c>
      <c r="D24" s="3"/>
      <c r="E24" s="3"/>
      <c r="F24" s="3"/>
      <c r="G24" s="3"/>
      <c r="H24" s="3"/>
      <c r="I24" s="2">
        <f ca="1">SUBTOTAL(109,EXPwk[REQUIRED])</f>
        <v>28.571428571428573</v>
      </c>
      <c r="J24" s="2">
        <f>SUBTOTAL(109,EXPwk[RATE/DAY])</f>
        <v>14.285714285714286</v>
      </c>
      <c r="K24" s="2">
        <f ca="1">SUBTOTAL(109,EXPwk[PROJECTED])</f>
        <v>4785.7142857142853</v>
      </c>
    </row>
    <row r="25" spans="2:13" ht="15.75" x14ac:dyDescent="0.25">
      <c r="B25" s="33" t="s">
        <v>30</v>
      </c>
    </row>
    <row r="26" spans="2:13" x14ac:dyDescent="0.25">
      <c r="B26" s="240" t="s">
        <v>0</v>
      </c>
      <c r="C26" s="206" t="s">
        <v>1</v>
      </c>
      <c r="D26" s="208" t="s">
        <v>29</v>
      </c>
      <c r="E26" s="208" t="s">
        <v>31</v>
      </c>
      <c r="F26" s="241" t="s">
        <v>3</v>
      </c>
      <c r="G26" s="241" t="s">
        <v>2</v>
      </c>
      <c r="H26" s="242" t="s">
        <v>23</v>
      </c>
      <c r="I26" s="243" t="s">
        <v>22</v>
      </c>
      <c r="J26" s="206" t="s">
        <v>25</v>
      </c>
      <c r="K26" s="243" t="s">
        <v>24</v>
      </c>
    </row>
    <row r="27" spans="2:13" x14ac:dyDescent="0.25">
      <c r="B27" s="1"/>
      <c r="C27" s="2"/>
      <c r="D27" s="7"/>
      <c r="E27" s="3"/>
      <c r="F27" s="4"/>
      <c r="G27" s="4"/>
      <c r="H27" s="4"/>
      <c r="I27" s="2"/>
      <c r="J27" s="2"/>
      <c r="K27" s="2"/>
    </row>
    <row r="28" spans="2:13" x14ac:dyDescent="0.25">
      <c r="B28" s="1" t="s">
        <v>39</v>
      </c>
      <c r="C28" s="3"/>
      <c r="D28" s="3"/>
      <c r="E28" s="3"/>
      <c r="F28" s="3"/>
      <c r="G28" s="3"/>
      <c r="H28" s="3"/>
      <c r="I28" s="3"/>
      <c r="J28" s="3"/>
      <c r="K28" s="2">
        <f>SUBTOTAL(109,EXPterm[PROJECTED])</f>
        <v>0</v>
      </c>
    </row>
    <row r="29" spans="2:13" ht="15.75" x14ac:dyDescent="0.25">
      <c r="B29" s="33" t="s">
        <v>32</v>
      </c>
    </row>
    <row r="30" spans="2:13" x14ac:dyDescent="0.25">
      <c r="B30" s="240" t="s">
        <v>0</v>
      </c>
      <c r="C30" s="206" t="s">
        <v>1</v>
      </c>
      <c r="D30" s="208" t="s">
        <v>33</v>
      </c>
      <c r="E30" s="208" t="s">
        <v>4</v>
      </c>
      <c r="F30" s="241" t="s">
        <v>3</v>
      </c>
      <c r="G30" s="241" t="s">
        <v>2</v>
      </c>
      <c r="H30" s="242" t="s">
        <v>23</v>
      </c>
      <c r="I30" s="243" t="s">
        <v>22</v>
      </c>
      <c r="J30" s="206" t="s">
        <v>25</v>
      </c>
      <c r="K30" s="243" t="s">
        <v>24</v>
      </c>
    </row>
    <row r="31" spans="2:13" x14ac:dyDescent="0.25">
      <c r="B31" s="1" t="s">
        <v>44</v>
      </c>
      <c r="C31" s="2">
        <v>50</v>
      </c>
      <c r="D31" s="6">
        <v>18</v>
      </c>
      <c r="E31" s="3" t="b">
        <v>0</v>
      </c>
      <c r="F31" s="4">
        <v>43835</v>
      </c>
      <c r="G31" s="4"/>
      <c r="H31" s="4">
        <f ca="1">NextDate(CalcDate,EXPreg[[#This Row],[Start Date]],EXPreg[[#This Row],[End Date]],EXPreg[[#This Row],[Period (Days)]])</f>
        <v>44231</v>
      </c>
      <c r="I31" s="2">
        <f ca="1">Regular(EXPreg[[#This Row],[Amount]],EXPreg[[#This Row],[Period (Days)]],CalcDate,EXPreg[[#This Row],[NEXT DUE]])</f>
        <v>44.444444444444443</v>
      </c>
      <c r="J31" s="2">
        <f>EXPreg[[#This Row],[Amount]]/EXPreg[[#This Row],[Period (Days)]]</f>
        <v>2.7777777777777777</v>
      </c>
      <c r="K31" s="2">
        <f ca="1">ProjReg(EXPreg[[#This Row],[Amount]],EXPreg[[#This Row],[Period (Days)]],EXPreg[[#This Row],[Start Date]],EXPreg[[#This Row],[End Date]],CalcDate,ProjDate)</f>
        <v>969.44444444444446</v>
      </c>
      <c r="M31" s="265"/>
    </row>
    <row r="32" spans="2:13" x14ac:dyDescent="0.25">
      <c r="B32" s="1" t="s">
        <v>105</v>
      </c>
      <c r="C32" s="2">
        <v>35</v>
      </c>
      <c r="D32" s="3">
        <f>8*7</f>
        <v>56</v>
      </c>
      <c r="E32" s="3" t="b">
        <v>0</v>
      </c>
      <c r="F32" s="4">
        <v>43809</v>
      </c>
      <c r="G32" s="4"/>
      <c r="H32" s="4">
        <f ca="1">NextDate(CalcDate,EXPreg[[#This Row],[Start Date]],EXPreg[[#This Row],[End Date]],EXPreg[[#This Row],[Period (Days)]])</f>
        <v>44257</v>
      </c>
      <c r="I32" s="2">
        <f ca="1">Regular(EXPreg[[#This Row],[Amount]],EXPreg[[#This Row],[Period (Days)]],CalcDate,EXPreg[[#This Row],[NEXT DUE]])</f>
        <v>17.5</v>
      </c>
      <c r="J32" s="2">
        <f>EXPreg[[#This Row],[Amount]]/EXPreg[[#This Row],[Period (Days)]]</f>
        <v>0.625</v>
      </c>
      <c r="K32" s="2">
        <f ca="1">ProjReg(EXPreg[[#This Row],[Amount]],EXPreg[[#This Row],[Period (Days)]],EXPreg[[#This Row],[Start Date]],EXPreg[[#This Row],[End Date]],CalcDate,ProjDate)</f>
        <v>225.625</v>
      </c>
    </row>
    <row r="33" spans="2:11" x14ac:dyDescent="0.25">
      <c r="B33" s="1" t="s">
        <v>106</v>
      </c>
      <c r="C33" s="2">
        <v>300</v>
      </c>
      <c r="D33" s="3">
        <v>28</v>
      </c>
      <c r="E33" s="3" t="b">
        <v>0</v>
      </c>
      <c r="F33" s="4">
        <v>43832</v>
      </c>
      <c r="G33" s="4"/>
      <c r="H33" s="4">
        <f ca="1">NextDate(CalcDate,EXPreg[[#This Row],[Start Date]],EXPreg[[#This Row],[End Date]],EXPreg[[#This Row],[Period (Days)]])</f>
        <v>44252</v>
      </c>
      <c r="I33" s="2">
        <f ca="1">Regular(EXPreg[[#This Row],[Amount]],EXPreg[[#This Row],[Period (Days)]],CalcDate,EXPreg[[#This Row],[NEXT DUE]])</f>
        <v>53.571428571428569</v>
      </c>
      <c r="J33" s="2">
        <f>EXPreg[[#This Row],[Amount]]/EXPreg[[#This Row],[Period (Days)]]</f>
        <v>10.714285714285714</v>
      </c>
      <c r="K33" s="2">
        <f ca="1">ProjReg(EXPreg[[#This Row],[Amount]],EXPreg[[#This Row],[Period (Days)]],EXPreg[[#This Row],[Start Date]],EXPreg[[#This Row],[End Date]],CalcDate,ProjDate)</f>
        <v>3621.4285714285716</v>
      </c>
    </row>
    <row r="34" spans="2:11" x14ac:dyDescent="0.25">
      <c r="B34" s="1" t="s">
        <v>39</v>
      </c>
      <c r="C34" s="2">
        <f>SUBTOTAL(109,EXPreg[Amount])</f>
        <v>385</v>
      </c>
      <c r="D34" s="3"/>
      <c r="E34" s="3"/>
      <c r="F34" s="3"/>
      <c r="G34" s="3"/>
      <c r="H34" s="3"/>
      <c r="I34" s="2">
        <f ca="1">SUBTOTAL(109,EXPreg[REQUIRED])</f>
        <v>115.51587301587301</v>
      </c>
      <c r="J34" s="2">
        <f>SUBTOTAL(109,EXPreg[RATE/DAY])</f>
        <v>14.11706349206349</v>
      </c>
      <c r="K34" s="2">
        <f ca="1">SUBTOTAL(109,EXPreg[PROJECTED])</f>
        <v>4816.4980158730159</v>
      </c>
    </row>
  </sheetData>
  <hyperlinks>
    <hyperlink ref="I1" location="CalcDate" display="CalcDate" xr:uid="{BC2EFFBD-F94D-42DB-98ED-B9ACEB3C7186}"/>
    <hyperlink ref="K1" location="ProjDate" display="ProjDate" xr:uid="{012FAC16-F1C3-4564-A65C-84480E670B58}"/>
  </hyperlink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75218-3FDE-4C27-9AAA-24D1C77591C7}">
  <sheetPr codeName="Sheet5">
    <tabColor rgb="FF0070C0"/>
  </sheetPr>
  <dimension ref="A1:V20"/>
  <sheetViews>
    <sheetView zoomScale="115" zoomScaleNormal="115" workbookViewId="0"/>
  </sheetViews>
  <sheetFormatPr defaultColWidth="9.140625" defaultRowHeight="15" x14ac:dyDescent="0.25"/>
  <cols>
    <col min="1" max="1" width="4.28515625" style="51" customWidth="1"/>
    <col min="2" max="2" width="19.5703125" style="51" bestFit="1" customWidth="1"/>
    <col min="3" max="3" width="22.28515625" style="51" bestFit="1" customWidth="1"/>
    <col min="4" max="4" width="12.7109375" style="52" bestFit="1" customWidth="1"/>
    <col min="5" max="5" width="14.28515625" style="182" bestFit="1" customWidth="1"/>
    <col min="6" max="6" width="21.42578125" style="182" bestFit="1" customWidth="1"/>
    <col min="7" max="7" width="15" style="48" bestFit="1" customWidth="1"/>
    <col min="8" max="9" width="14.5703125" style="48" bestFit="1" customWidth="1"/>
    <col min="10" max="10" width="15.42578125" style="48" bestFit="1" customWidth="1"/>
    <col min="11" max="11" width="4.28515625" style="21" customWidth="1"/>
    <col min="12" max="12" width="14.28515625" style="21" customWidth="1"/>
    <col min="13" max="13" width="4.28515625" style="21" customWidth="1"/>
    <col min="14" max="14" width="13.28515625" style="21" bestFit="1" customWidth="1"/>
    <col min="15" max="15" width="22.85546875" style="21" customWidth="1"/>
    <col min="16" max="16" width="10.42578125" style="42" bestFit="1" customWidth="1"/>
    <col min="17" max="17" width="12" style="43" bestFit="1" customWidth="1"/>
    <col min="18" max="18" width="19.140625" style="43" bestFit="1" customWidth="1"/>
    <col min="19" max="19" width="12.7109375" style="42" bestFit="1" customWidth="1"/>
    <col min="20" max="21" width="12.28515625" style="42" bestFit="1" customWidth="1"/>
    <col min="22" max="22" width="13.140625" style="42" bestFit="1" customWidth="1"/>
    <col min="23" max="16384" width="9.140625" style="21"/>
  </cols>
  <sheetData>
    <row r="1" spans="1:22" s="37" customFormat="1" x14ac:dyDescent="0.25">
      <c r="A1" s="36"/>
      <c r="B1" s="36"/>
      <c r="C1" s="36"/>
      <c r="D1" s="38"/>
      <c r="E1" s="39"/>
      <c r="F1" s="39"/>
      <c r="G1" s="40"/>
      <c r="H1" s="40"/>
      <c r="I1" s="40"/>
      <c r="J1" s="40"/>
      <c r="P1" s="44"/>
      <c r="Q1" s="45"/>
      <c r="R1" s="45"/>
      <c r="S1" s="44"/>
      <c r="T1" s="44"/>
      <c r="U1" s="44"/>
      <c r="V1" s="44"/>
    </row>
    <row r="2" spans="1:22" s="37" customFormat="1" ht="21" x14ac:dyDescent="0.35">
      <c r="A2" s="36"/>
      <c r="B2" s="184" t="s">
        <v>20</v>
      </c>
      <c r="C2" s="36"/>
      <c r="D2" s="38"/>
      <c r="E2" s="39"/>
      <c r="F2" s="39"/>
      <c r="G2" s="40"/>
      <c r="H2" s="40"/>
      <c r="I2" s="40"/>
      <c r="J2" s="40"/>
      <c r="P2" s="44"/>
      <c r="Q2" s="45"/>
      <c r="R2" s="45"/>
      <c r="S2" s="44"/>
      <c r="T2" s="44"/>
      <c r="U2" s="44"/>
      <c r="V2" s="44"/>
    </row>
    <row r="3" spans="1:22" s="37" customFormat="1" x14ac:dyDescent="0.25">
      <c r="A3" s="36"/>
      <c r="B3" s="183" t="s">
        <v>59</v>
      </c>
      <c r="C3" s="36"/>
      <c r="D3" s="38"/>
      <c r="E3" s="39"/>
      <c r="F3" s="39"/>
      <c r="G3" s="40"/>
      <c r="H3" s="40"/>
      <c r="I3" s="40"/>
      <c r="J3" s="40"/>
      <c r="P3" s="44"/>
      <c r="Q3" s="45"/>
      <c r="R3" s="45"/>
      <c r="S3" s="44"/>
      <c r="T3" s="44"/>
      <c r="U3" s="44"/>
      <c r="V3" s="44"/>
    </row>
    <row r="4" spans="1:22" s="37" customFormat="1" x14ac:dyDescent="0.25">
      <c r="A4" s="36"/>
      <c r="B4" s="205" t="s">
        <v>60</v>
      </c>
      <c r="C4" s="205" t="s">
        <v>0</v>
      </c>
      <c r="D4" s="206" t="s">
        <v>1</v>
      </c>
      <c r="E4" s="207" t="s">
        <v>3</v>
      </c>
      <c r="F4" s="207" t="s">
        <v>61</v>
      </c>
      <c r="G4" s="206" t="s">
        <v>64</v>
      </c>
      <c r="H4" s="206" t="s">
        <v>22</v>
      </c>
      <c r="I4" s="206" t="s">
        <v>25</v>
      </c>
      <c r="J4" s="206" t="s">
        <v>24</v>
      </c>
      <c r="P4" s="44"/>
      <c r="Q4" s="45"/>
      <c r="R4" s="45"/>
      <c r="S4" s="44"/>
      <c r="T4" s="44"/>
      <c r="U4" s="44"/>
      <c r="V4" s="44"/>
    </row>
    <row r="5" spans="1:22" s="37" customFormat="1" x14ac:dyDescent="0.25">
      <c r="A5" s="36"/>
      <c r="B5" t="s">
        <v>111</v>
      </c>
      <c r="C5" t="s">
        <v>112</v>
      </c>
      <c r="D5" s="2">
        <v>450</v>
      </c>
      <c r="E5" s="41">
        <v>44181</v>
      </c>
      <c r="F5" s="41">
        <v>44286</v>
      </c>
      <c r="G5" s="2"/>
      <c r="H5" s="2">
        <f ca="1">IF(AND(EXPowe[[#This Row],[Start Date]]&gt;0,EXPowe[[#This Row],[Date For Payment]]=0),EXPowe[[#This Row],[Amount]]-EXPowe[[#This Row],[COMPLETE]],CalcSave(EXPowe[[#This Row],[Amount]]-EXPowe[[#This Row],[COMPLETE]],CalcDate,EXPowe[[#This Row],[Start Date]],EXPowe[[#This Row],[Date For Payment]]))</f>
        <v>205.71428571428572</v>
      </c>
      <c r="I5" s="2">
        <f>IF(EXPowe[[#This Row],[Start Date]]&gt;0,IF(EXPowe[[#This Row],[Date For Payment]]=0,0,(EXPowe[[#This Row],[Amount]]-EXPowe[[#This Row],[COMPLETE]])/(EXPowe[[#This Row],[Date For Payment]]-EXPowe[[#This Row],[Start Date]])),0)</f>
        <v>4.2857142857142856</v>
      </c>
      <c r="J5" s="2">
        <f>IF(EXPowe[[#This Row],[Date For Payment]]=0,EXPowe[[#This Row],[Amount]]-EXPowe[[#This Row],[COMPLETE]],CalcSave(EXPowe[[#This Row],[Amount]]-EXPowe[[#This Row],[COMPLETE]],ProjDate,EXPowe[[#This Row],[Start Date]],EXPowe[[#This Row],[Date For Payment]]))</f>
        <v>0</v>
      </c>
      <c r="P5" s="44"/>
      <c r="Q5" s="45"/>
      <c r="R5" s="45"/>
      <c r="S5" s="44"/>
      <c r="T5" s="44"/>
      <c r="U5" s="44"/>
      <c r="V5" s="44"/>
    </row>
    <row r="6" spans="1:22" s="37" customFormat="1" x14ac:dyDescent="0.25">
      <c r="A6" s="36"/>
      <c r="B6" t="s">
        <v>39</v>
      </c>
      <c r="C6"/>
      <c r="D6" s="2">
        <f>SUBTOTAL(109,EXPowe[Amount])</f>
        <v>450</v>
      </c>
      <c r="E6" s="41"/>
      <c r="F6" s="41"/>
      <c r="G6" s="2">
        <f>SUBTOTAL(109,EXPowe[COMPLETE])</f>
        <v>0</v>
      </c>
      <c r="H6" s="2">
        <f ca="1">SUBTOTAL(109,EXPowe[REQUIRED])</f>
        <v>205.71428571428572</v>
      </c>
      <c r="I6" s="2">
        <f>SUBTOTAL(109,EXPowe[RATE/DAY])</f>
        <v>4.2857142857142856</v>
      </c>
      <c r="J6" s="2">
        <f>SUBTOTAL(109,EXPowe[PROJECTED])</f>
        <v>0</v>
      </c>
      <c r="P6" s="44"/>
      <c r="Q6" s="45"/>
      <c r="R6" s="45"/>
      <c r="S6" s="44"/>
      <c r="T6" s="44"/>
      <c r="U6" s="44"/>
      <c r="V6" s="44"/>
    </row>
    <row r="7" spans="1:22" s="37" customFormat="1" x14ac:dyDescent="0.25">
      <c r="A7" s="36"/>
      <c r="B7" s="183" t="s">
        <v>65</v>
      </c>
      <c r="C7" s="205" t="s">
        <v>0</v>
      </c>
      <c r="D7" s="206" t="s">
        <v>1</v>
      </c>
      <c r="E7" s="207" t="s">
        <v>3</v>
      </c>
      <c r="F7" s="207" t="s">
        <v>61</v>
      </c>
      <c r="G7" s="206" t="s">
        <v>64</v>
      </c>
      <c r="H7" s="206" t="s">
        <v>22</v>
      </c>
      <c r="I7" s="206" t="s">
        <v>25</v>
      </c>
      <c r="J7" s="206" t="s">
        <v>24</v>
      </c>
      <c r="P7" s="44"/>
      <c r="Q7" s="45"/>
      <c r="R7" s="45"/>
      <c r="S7" s="44"/>
      <c r="T7" s="44"/>
      <c r="U7" s="44"/>
      <c r="V7" s="44"/>
    </row>
    <row r="8" spans="1:22" s="37" customFormat="1" x14ac:dyDescent="0.25">
      <c r="A8" s="36"/>
      <c r="B8" s="36"/>
      <c r="C8" t="s">
        <v>107</v>
      </c>
      <c r="D8" s="2">
        <v>200</v>
      </c>
      <c r="E8" s="41">
        <v>44190</v>
      </c>
      <c r="F8" s="41">
        <v>44553</v>
      </c>
      <c r="G8" s="2"/>
      <c r="H8" s="2">
        <f ca="1">IF(AND(EXPirr[[#This Row],[Start Date]]&gt;0,EXPirr[[#This Row],[Date For Payment]]=0),EXPirr[[#This Row],[Amount]],CalcSave(EXPirr[[#This Row],[Amount]]-EXPirr[[#This Row],[COMPLETE]],CalcDate,EXPirr[[#This Row],[Start Date]],EXPirr[[#This Row],[Date For Payment]]))</f>
        <v>21.487603305785125</v>
      </c>
      <c r="I8" s="2">
        <f>IF(EXPirr[[#This Row],[Start Date]]&gt;0,(EXPirr[[#This Row],[Amount]]-EXPirr[[#This Row],[COMPLETE]])/(EXPirr[[#This Row],[Date For Payment]]-EXPirr[[#This Row],[Start Date]]),0)</f>
        <v>0.55096418732782371</v>
      </c>
      <c r="J8" s="2">
        <f ca="1">IF(EXPirr[[#This Row],[Start Date]]&gt;0,IF(EXPirr[[#This Row],[Date For Payment]]=0,EXPirr[[#This Row],[Amount]],CalcSave(EXPirr[[#This Row],[Amount]]-EXPirr[[#This Row],[COMPLETE]],ProjDate,EXPirr[[#This Row],[Start Date]],EXPirr[[#This Row],[Date For Payment]],IF(AND(CalcDate&lt;EXPirr[[#This Row],[Date For Payment]],ProjDate&gt;EXPirr[[#This Row],[Date For Payment]]),1,0)))+ProjAnn(EXPirr[[#This Row],[Amount]],DATE(YEAR(EXPirr[[#This Row],[Date For Payment]])+1,MONTH(EXPirr[[#This Row],[Date For Payment]]),DAY(EXPirr[[#This Row],[Date For Payment]])),0,CalcDate,ProjDate),0)</f>
        <v>204.93150684931507</v>
      </c>
      <c r="P8" s="44"/>
      <c r="Q8" s="45"/>
      <c r="R8" s="45"/>
      <c r="S8" s="44"/>
      <c r="T8" s="44"/>
      <c r="U8" s="44"/>
      <c r="V8" s="44"/>
    </row>
    <row r="9" spans="1:22" s="37" customFormat="1" x14ac:dyDescent="0.25">
      <c r="A9" s="36"/>
      <c r="B9" s="36"/>
      <c r="C9" t="s">
        <v>108</v>
      </c>
      <c r="D9" s="2">
        <v>80</v>
      </c>
      <c r="E9" s="41">
        <v>43693</v>
      </c>
      <c r="F9" s="41">
        <v>44418</v>
      </c>
      <c r="G9" s="2">
        <v>40</v>
      </c>
      <c r="H9" s="2">
        <f ca="1">IF(AND(EXPirr[[#This Row],[Start Date]]&gt;0,EXPirr[[#This Row],[Date For Payment]]=0),EXPirr[[#This Row],[Amount]],CalcSave(EXPirr[[#This Row],[Amount]]-EXPirr[[#This Row],[COMPLETE]],CalcDate,EXPirr[[#This Row],[Start Date]],EXPirr[[#This Row],[Date For Payment]]))</f>
        <v>29.572413793103447</v>
      </c>
      <c r="I9" s="2">
        <f>IF(EXPirr[[#This Row],[Start Date]]&gt;0,(EXPirr[[#This Row],[Amount]]-EXPirr[[#This Row],[COMPLETE]])/(EXPirr[[#This Row],[Date For Payment]]-EXPirr[[#This Row],[Start Date]]),0)</f>
        <v>5.5172413793103448E-2</v>
      </c>
      <c r="J9" s="2">
        <f ca="1">IF(EXPirr[[#This Row],[Start Date]]&gt;0,IF(EXPirr[[#This Row],[Date For Payment]]=0,EXPirr[[#This Row],[Amount]],CalcSave(EXPirr[[#This Row],[Amount]]-EXPirr[[#This Row],[COMPLETE]],ProjDate,EXPirr[[#This Row],[Start Date]],EXPirr[[#This Row],[Date For Payment]],IF(AND(CalcDate&lt;EXPirr[[#This Row],[Date For Payment]],ProjDate&gt;EXPirr[[#This Row],[Date For Payment]]),1,0)))+ProjAnn(EXPirr[[#This Row],[Amount]],DATE(YEAR(EXPirr[[#This Row],[Date For Payment]])+1,MONTH(EXPirr[[#This Row],[Date For Payment]]),DAY(EXPirr[[#This Row],[Date For Payment]])),0,CalcDate,ProjDate),0)</f>
        <v>71.561643835616437</v>
      </c>
      <c r="P9" s="44"/>
      <c r="Q9" s="45"/>
      <c r="R9" s="45"/>
      <c r="S9" s="44"/>
      <c r="T9" s="44"/>
      <c r="U9" s="44"/>
      <c r="V9" s="44"/>
    </row>
    <row r="10" spans="1:22" s="37" customFormat="1" x14ac:dyDescent="0.25">
      <c r="A10" s="36"/>
      <c r="B10" s="36"/>
      <c r="C10" s="205" t="s">
        <v>39</v>
      </c>
      <c r="D10" s="206">
        <f>SUBTOTAL(109,EXPirr[Amount])</f>
        <v>280</v>
      </c>
      <c r="E10" s="207"/>
      <c r="F10" s="207"/>
      <c r="G10" s="206">
        <f>SUBTOTAL(109,EXPirr[COMPLETE])</f>
        <v>40</v>
      </c>
      <c r="H10" s="206">
        <f ca="1">SUBTOTAL(109,EXPirr[REQUIRED])</f>
        <v>51.060017098888572</v>
      </c>
      <c r="I10" s="206">
        <f>SUBTOTAL(109,EXPirr[RATE/DAY])</f>
        <v>0.60613660112092715</v>
      </c>
      <c r="J10" s="206">
        <f ca="1">SUBTOTAL(109,EXPirr[PROJECTED])</f>
        <v>276.49315068493149</v>
      </c>
      <c r="P10" s="44"/>
      <c r="Q10" s="45"/>
      <c r="R10" s="45"/>
      <c r="S10" s="44"/>
      <c r="T10" s="44"/>
      <c r="U10" s="44"/>
      <c r="V10" s="44"/>
    </row>
    <row r="11" spans="1:22" s="37" customFormat="1" x14ac:dyDescent="0.25">
      <c r="A11" s="36"/>
      <c r="B11" s="36"/>
      <c r="C11" s="46"/>
      <c r="D11" s="22"/>
      <c r="E11" s="47"/>
      <c r="F11" s="47"/>
      <c r="G11" s="23"/>
      <c r="H11" s="23"/>
      <c r="I11" s="23"/>
      <c r="J11" s="23"/>
      <c r="P11" s="44"/>
      <c r="Q11" s="45"/>
      <c r="R11" s="45"/>
      <c r="S11" s="44"/>
      <c r="T11" s="44"/>
      <c r="U11" s="44"/>
      <c r="V11" s="44"/>
    </row>
    <row r="13" spans="1:22" ht="21" x14ac:dyDescent="0.35">
      <c r="B13" s="186" t="s">
        <v>62</v>
      </c>
    </row>
    <row r="14" spans="1:22" x14ac:dyDescent="0.25">
      <c r="B14" s="185" t="s">
        <v>63</v>
      </c>
    </row>
    <row r="15" spans="1:22" x14ac:dyDescent="0.25">
      <c r="B15" s="205" t="s">
        <v>60</v>
      </c>
      <c r="C15" s="205" t="s">
        <v>0</v>
      </c>
      <c r="D15" s="206" t="s">
        <v>1</v>
      </c>
      <c r="E15" s="207" t="s">
        <v>3</v>
      </c>
      <c r="F15" s="207" t="s">
        <v>61</v>
      </c>
      <c r="G15" s="206" t="s">
        <v>64</v>
      </c>
      <c r="H15" s="206" t="s">
        <v>22</v>
      </c>
      <c r="I15" s="206" t="s">
        <v>25</v>
      </c>
      <c r="J15" s="206" t="s">
        <v>24</v>
      </c>
    </row>
    <row r="16" spans="1:22" x14ac:dyDescent="0.25">
      <c r="B16" t="s">
        <v>109</v>
      </c>
      <c r="C16" t="s">
        <v>110</v>
      </c>
      <c r="D16" s="2">
        <v>100</v>
      </c>
      <c r="E16" s="41">
        <v>43805</v>
      </c>
      <c r="F16" s="41"/>
      <c r="G16" s="2"/>
      <c r="H16" s="2">
        <f>IF(AND(INCowe[[#This Row],[Start Date]]&gt;0,INCowe[[#This Row],[Date For Payment]]=0),INCowe[[#This Row],[Amount]]-INCowe[[#This Row],[COMPLETE]],CalcSave(INCowe[[#This Row],[Amount]]-INCowe[[#This Row],[COMPLETE]],CalcDate,INCowe[[#This Row],[Start Date]],INCowe[[#This Row],[Date For Payment]]))</f>
        <v>100</v>
      </c>
      <c r="I16" s="2">
        <f>IF(INCowe[[#This Row],[Start Date]]&gt;0,IF(INCowe[[#This Row],[Date For Payment]]=0,0,(INCowe[[#This Row],[Amount]]-INCowe[[#This Row],[COMPLETE]])/(INCowe[[#This Row],[Date For Payment]]-INCowe[[#This Row],[Start Date]])),0)</f>
        <v>0</v>
      </c>
      <c r="J16" s="2">
        <f>IF(INCowe[[#This Row],[Date For Payment]]=0,INCowe[[#This Row],[Amount]]-INCowe[[#This Row],[COMPLETE]],CalcSave(INCowe[[#This Row],[Amount]]-INCowe[[#This Row],[COMPLETE]],ProjDate,INCowe[[#This Row],[Start Date]],INCowe[[#This Row],[Date For Payment]]))</f>
        <v>100</v>
      </c>
    </row>
    <row r="17" spans="2:10" x14ac:dyDescent="0.25">
      <c r="B17" t="s">
        <v>39</v>
      </c>
      <c r="C17" s="205"/>
      <c r="D17" s="206">
        <f>SUBTOTAL(109,INCowe[Amount])</f>
        <v>100</v>
      </c>
      <c r="E17" s="207"/>
      <c r="F17" s="207"/>
      <c r="G17" s="206">
        <f>SUBTOTAL(109,INCowe[COMPLETE])</f>
        <v>0</v>
      </c>
      <c r="H17" s="206">
        <f>SUBTOTAL(109,INCowe[REQUIRED])</f>
        <v>100</v>
      </c>
      <c r="I17" s="206">
        <f>SUBTOTAL(109,INCowe[RATE/DAY])</f>
        <v>0</v>
      </c>
      <c r="J17" s="206">
        <f>SUBTOTAL(109,INCowe[PROJECTED])</f>
        <v>100</v>
      </c>
    </row>
    <row r="18" spans="2:10" x14ac:dyDescent="0.25">
      <c r="B18" s="185" t="s">
        <v>65</v>
      </c>
      <c r="C18" s="205" t="s">
        <v>0</v>
      </c>
      <c r="D18" s="206" t="s">
        <v>1</v>
      </c>
      <c r="E18" s="207" t="s">
        <v>3</v>
      </c>
      <c r="F18" s="207" t="s">
        <v>61</v>
      </c>
      <c r="G18" s="206" t="s">
        <v>64</v>
      </c>
      <c r="H18" s="206" t="s">
        <v>22</v>
      </c>
      <c r="I18" s="206" t="s">
        <v>25</v>
      </c>
      <c r="J18" s="206" t="s">
        <v>24</v>
      </c>
    </row>
    <row r="19" spans="2:10" x14ac:dyDescent="0.25">
      <c r="C19"/>
      <c r="D19" s="2"/>
      <c r="E19" s="41"/>
      <c r="F19" s="41"/>
      <c r="G19" s="2"/>
      <c r="H19" s="2">
        <f ca="1">IF(AND(INCirr[[#This Row],[Start Date]]&gt;0,INCirr[[#This Row],[Date For Payment]]=0),INCirr[[#This Row],[Amount]],CalcSave(INCirr[[#This Row],[Amount]]-INCirr[[#This Row],[COMPLETE]],CalcDate,INCirr[[#This Row],[Start Date]],INCirr[[#This Row],[Date For Payment]]))</f>
        <v>0</v>
      </c>
      <c r="I19" s="2">
        <f>IF(INCirr[[#This Row],[Start Date]]&gt;0,(INCirr[[#This Row],[Amount]]-INCirr[[#This Row],[COMPLETE]])/(INCirr[[#This Row],[Date For Payment]]-INCirr[[#This Row],[Start Date]]),0)</f>
        <v>0</v>
      </c>
      <c r="J19" s="2">
        <f>IF(INCirr[[#This Row],[Start Date]]&gt;0,IF(INCirr[[#This Row],[Date For Payment]]=0,INCirr[[#This Row],[Amount]],CalcSave(INCirr[[#This Row],[Amount]]-INCirr[[#This Row],[COMPLETE]],ProjDate,INCirr[[#This Row],[Start Date]],INCirr[[#This Row],[Date For Payment]],IF(AND(CalcDate&lt;INCirr[[#This Row],[Date For Payment]],ProjDate&gt;INCirr[[#This Row],[Date For Payment]]),1,0)))+ProjAnn(INCirr[[#This Row],[Amount]],DATE(YEAR(INCirr[[#This Row],[Date For Payment]])+1,MONTH(INCirr[[#This Row],[Date For Payment]]),DAY(INCirr[[#This Row],[Date For Payment]])),0,CalcDate,ProjDate),0)</f>
        <v>0</v>
      </c>
    </row>
    <row r="20" spans="2:10" x14ac:dyDescent="0.25">
      <c r="C20" s="205" t="s">
        <v>39</v>
      </c>
      <c r="D20" s="206">
        <f>SUBTOTAL(109,INCirr[Amount])</f>
        <v>0</v>
      </c>
      <c r="E20" s="208"/>
      <c r="F20" s="208"/>
      <c r="G20" s="206">
        <f>SUBTOTAL(109,INCirr[COMPLETE])</f>
        <v>0</v>
      </c>
      <c r="H20" s="206">
        <f ca="1">SUBTOTAL(109,INCirr[REQUIRED])</f>
        <v>0</v>
      </c>
      <c r="I20" s="206">
        <f>SUBTOTAL(109,INCirr[RATE/DAY])</f>
        <v>0</v>
      </c>
      <c r="J20" s="206">
        <f>SUBTOTAL(109,INCirr[PROJECTED])</f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3A054-5B65-41B2-93CD-F0476E0ADF69}">
  <sheetPr codeName="Sheet6">
    <tabColor rgb="FF00B050"/>
  </sheetPr>
  <dimension ref="B1:H13"/>
  <sheetViews>
    <sheetView zoomScale="190" zoomScaleNormal="190" workbookViewId="0"/>
  </sheetViews>
  <sheetFormatPr defaultColWidth="9.140625" defaultRowHeight="15" x14ac:dyDescent="0.25"/>
  <cols>
    <col min="1" max="1" width="9.140625" style="9" customWidth="1"/>
    <col min="2" max="2" width="1.42578125" style="9" customWidth="1"/>
    <col min="3" max="3" width="14.7109375" style="9" bestFit="1" customWidth="1"/>
    <col min="4" max="4" width="16" style="9" bestFit="1" customWidth="1"/>
    <col min="5" max="5" width="18.28515625" style="9" customWidth="1"/>
    <col min="6" max="6" width="19.140625" style="9" bestFit="1" customWidth="1"/>
    <col min="7" max="7" width="16.85546875" style="9" bestFit="1" customWidth="1"/>
    <col min="8" max="8" width="1.42578125" style="9" customWidth="1"/>
    <col min="9" max="16384" width="9.140625" style="9"/>
  </cols>
  <sheetData>
    <row r="1" spans="2:8" ht="21" customHeight="1" x14ac:dyDescent="0.25"/>
    <row r="2" spans="2:8" ht="7.5" customHeight="1" x14ac:dyDescent="0.25">
      <c r="B2" s="258"/>
      <c r="C2" s="260"/>
      <c r="D2" s="260"/>
      <c r="E2" s="260"/>
      <c r="F2" s="260"/>
      <c r="G2" s="260"/>
      <c r="H2" s="262"/>
    </row>
    <row r="3" spans="2:8" ht="26.25" x14ac:dyDescent="0.4">
      <c r="B3" s="257"/>
      <c r="C3" s="292" t="s">
        <v>11</v>
      </c>
      <c r="D3" s="293"/>
      <c r="E3" s="293"/>
      <c r="F3" s="293"/>
      <c r="G3" s="294"/>
      <c r="H3" s="261"/>
    </row>
    <row r="4" spans="2:8" ht="21" x14ac:dyDescent="0.35">
      <c r="B4" s="257"/>
      <c r="C4" s="288" t="s">
        <v>20</v>
      </c>
      <c r="D4" s="289"/>
      <c r="E4" s="246"/>
      <c r="F4" s="290" t="s">
        <v>53</v>
      </c>
      <c r="G4" s="291"/>
      <c r="H4" s="261"/>
    </row>
    <row r="5" spans="2:8" ht="21" x14ac:dyDescent="0.35">
      <c r="B5" s="257"/>
      <c r="C5" s="247" t="s">
        <v>46</v>
      </c>
      <c r="D5" s="248">
        <f ca="1">EXPann[[#Totals],[REQUIRED]]</f>
        <v>2583.0136986301372</v>
      </c>
      <c r="E5" s="246"/>
      <c r="F5" s="249" t="s">
        <v>54</v>
      </c>
      <c r="G5" s="250"/>
      <c r="H5" s="261"/>
    </row>
    <row r="6" spans="2:8" ht="21" x14ac:dyDescent="0.35">
      <c r="B6" s="257"/>
      <c r="C6" s="247" t="s">
        <v>47</v>
      </c>
      <c r="D6" s="248">
        <f ca="1">EXPmon[[#Totals],[REQUIRED]]</f>
        <v>699.03225806451621</v>
      </c>
      <c r="E6" s="246"/>
      <c r="F6" s="251" t="s">
        <v>55</v>
      </c>
      <c r="G6" s="252">
        <f ca="1">EXPowe[[#Totals],[REQUIRED]]</f>
        <v>205.71428571428572</v>
      </c>
      <c r="H6" s="261"/>
    </row>
    <row r="7" spans="2:8" ht="21" x14ac:dyDescent="0.35">
      <c r="B7" s="257"/>
      <c r="C7" s="247" t="s">
        <v>48</v>
      </c>
      <c r="D7" s="248">
        <f ca="1">EXPbi[[#Totals],[REQUIRED]]</f>
        <v>8.5714285714285712</v>
      </c>
      <c r="E7" s="246"/>
      <c r="F7" s="251" t="s">
        <v>56</v>
      </c>
      <c r="G7" s="252">
        <f ca="1">EXPirr[[#Totals],[REQUIRED]]</f>
        <v>51.060017098888572</v>
      </c>
      <c r="H7" s="261"/>
    </row>
    <row r="8" spans="2:8" ht="21" x14ac:dyDescent="0.35">
      <c r="B8" s="257"/>
      <c r="C8" s="247" t="s">
        <v>49</v>
      </c>
      <c r="D8" s="248">
        <f ca="1">EXPwk[[#Totals],[REQUIRED]]</f>
        <v>28.571428571428573</v>
      </c>
      <c r="E8" s="246"/>
      <c r="F8" s="249" t="s">
        <v>57</v>
      </c>
      <c r="G8" s="250"/>
      <c r="H8" s="261"/>
    </row>
    <row r="9" spans="2:8" ht="21" x14ac:dyDescent="0.35">
      <c r="B9" s="257"/>
      <c r="C9" s="247" t="s">
        <v>50</v>
      </c>
      <c r="D9" s="248">
        <f>EXPterm[[#Totals],[REQUIRED]]</f>
        <v>0</v>
      </c>
      <c r="E9" s="246"/>
      <c r="F9" s="251" t="s">
        <v>58</v>
      </c>
      <c r="G9" s="252">
        <f>-INCowe[[#Totals],[REQUIRED]]</f>
        <v>-100</v>
      </c>
      <c r="H9" s="261"/>
    </row>
    <row r="10" spans="2:8" ht="21" x14ac:dyDescent="0.35">
      <c r="B10" s="257"/>
      <c r="C10" s="247" t="s">
        <v>51</v>
      </c>
      <c r="D10" s="248">
        <f ca="1">EXPreg[[#Totals],[REQUIRED]]</f>
        <v>115.51587301587301</v>
      </c>
      <c r="E10" s="246"/>
      <c r="F10" s="251" t="s">
        <v>56</v>
      </c>
      <c r="G10" s="252">
        <f ca="1">-INCirr[[#Totals],[REQUIRED]]</f>
        <v>0</v>
      </c>
      <c r="H10" s="261"/>
    </row>
    <row r="11" spans="2:8" ht="21" x14ac:dyDescent="0.35">
      <c r="B11" s="257"/>
      <c r="C11" s="253" t="s">
        <v>52</v>
      </c>
      <c r="D11" s="254">
        <f ca="1">ROUND(SUM(D5:D10),2)</f>
        <v>3434.7</v>
      </c>
      <c r="E11" s="246"/>
      <c r="F11" s="255" t="s">
        <v>52</v>
      </c>
      <c r="G11" s="256">
        <f ca="1">ROUND(SUM(G5:G10),2)</f>
        <v>156.77000000000001</v>
      </c>
      <c r="H11" s="261"/>
    </row>
    <row r="12" spans="2:8" ht="26.25" x14ac:dyDescent="0.4">
      <c r="B12" s="257"/>
      <c r="C12" s="285">
        <f ca="1">D11+G11</f>
        <v>3591.47</v>
      </c>
      <c r="D12" s="286"/>
      <c r="E12" s="286"/>
      <c r="F12" s="286"/>
      <c r="G12" s="287"/>
      <c r="H12" s="261"/>
    </row>
    <row r="13" spans="2:8" ht="7.5" customHeight="1" x14ac:dyDescent="0.25">
      <c r="B13" s="259"/>
      <c r="C13" s="264"/>
      <c r="D13" s="264"/>
      <c r="E13" s="264"/>
      <c r="F13" s="264"/>
      <c r="G13" s="264"/>
      <c r="H13" s="263"/>
    </row>
  </sheetData>
  <mergeCells count="4">
    <mergeCell ref="C12:G12"/>
    <mergeCell ref="C4:D4"/>
    <mergeCell ref="F4:G4"/>
    <mergeCell ref="C3:G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DC501-1827-4A2E-B4F8-EF26F1D37BAC}">
  <sheetPr codeName="Sheet7">
    <tabColor theme="1"/>
  </sheetPr>
  <dimension ref="B1:O16"/>
  <sheetViews>
    <sheetView workbookViewId="0"/>
  </sheetViews>
  <sheetFormatPr defaultColWidth="9.140625" defaultRowHeight="15" x14ac:dyDescent="0.25"/>
  <cols>
    <col min="1" max="1" width="9.140625" style="68"/>
    <col min="2" max="2" width="27.42578125" style="66" bestFit="1" customWidth="1"/>
    <col min="3" max="3" width="20.7109375" style="69" bestFit="1" customWidth="1"/>
    <col min="4" max="4" width="16" style="143" bestFit="1" customWidth="1"/>
    <col min="5" max="5" width="7.28515625" style="67" bestFit="1" customWidth="1"/>
    <col min="6" max="6" width="10.5703125" style="143" bestFit="1" customWidth="1"/>
    <col min="7" max="7" width="10.42578125" style="67" customWidth="1"/>
    <col min="8" max="8" width="10.42578125" style="181" customWidth="1"/>
    <col min="9" max="10" width="10.42578125" style="68" customWidth="1"/>
    <col min="11" max="11" width="12.5703125" style="68" bestFit="1" customWidth="1"/>
    <col min="12" max="13" width="10" style="68" bestFit="1" customWidth="1"/>
    <col min="14" max="14" width="9.7109375" style="68" bestFit="1" customWidth="1"/>
    <col min="15" max="16384" width="9.140625" style="68"/>
  </cols>
  <sheetData>
    <row r="1" spans="2:15" s="173" customFormat="1" ht="21" x14ac:dyDescent="0.35">
      <c r="B1" s="169" t="s">
        <v>77</v>
      </c>
      <c r="C1" s="170"/>
      <c r="D1" s="171"/>
      <c r="E1" s="172"/>
      <c r="F1" s="171"/>
      <c r="G1" s="172"/>
      <c r="H1" s="174"/>
    </row>
    <row r="2" spans="2:15" s="163" customFormat="1" ht="18.75" x14ac:dyDescent="0.3">
      <c r="B2" s="159"/>
      <c r="C2" s="160"/>
      <c r="D2" s="161"/>
      <c r="E2" s="162"/>
      <c r="F2" s="161"/>
      <c r="G2" s="162"/>
      <c r="H2" s="175"/>
    </row>
    <row r="3" spans="2:15" s="142" customFormat="1" ht="18.75" x14ac:dyDescent="0.3">
      <c r="B3" s="204" t="s">
        <v>75</v>
      </c>
      <c r="C3" s="139">
        <v>44197</v>
      </c>
      <c r="D3" s="140">
        <v>6113.8099999999995</v>
      </c>
      <c r="E3" s="141"/>
      <c r="F3" s="203" t="s">
        <v>78</v>
      </c>
      <c r="G3" s="141"/>
      <c r="H3" s="176"/>
    </row>
    <row r="4" spans="2:15" s="142" customFormat="1" ht="18.75" x14ac:dyDescent="0.3">
      <c r="B4" s="138" t="s">
        <v>76</v>
      </c>
      <c r="C4" s="139">
        <v>44561</v>
      </c>
      <c r="D4" s="140">
        <v>19991.322789378275</v>
      </c>
      <c r="E4" s="141"/>
      <c r="F4" s="140">
        <f>(D4-D3)/(C4-C3)</f>
        <v>38.125035135654606</v>
      </c>
      <c r="G4" s="141"/>
      <c r="H4" s="176"/>
    </row>
    <row r="5" spans="2:15" s="153" customFormat="1" ht="18.75" x14ac:dyDescent="0.3">
      <c r="B5" s="149"/>
      <c r="C5" s="150"/>
      <c r="D5" s="151"/>
      <c r="E5" s="152"/>
      <c r="F5" s="151"/>
      <c r="G5" s="152"/>
      <c r="H5" s="177"/>
    </row>
    <row r="6" spans="2:15" s="158" customFormat="1" ht="18.75" x14ac:dyDescent="0.3">
      <c r="B6" s="154"/>
      <c r="C6" s="155"/>
      <c r="D6" s="156"/>
      <c r="E6" s="157"/>
      <c r="F6" s="156"/>
      <c r="G6" s="157"/>
      <c r="H6" s="178"/>
    </row>
    <row r="7" spans="2:15" s="147" customFormat="1" ht="18.75" x14ac:dyDescent="0.3">
      <c r="B7" s="202" t="s">
        <v>82</v>
      </c>
      <c r="C7" s="144">
        <f ca="1">CalcDate</f>
        <v>44228</v>
      </c>
      <c r="D7" s="145">
        <f ca="1">CurBal</f>
        <v>6803.5300000000007</v>
      </c>
      <c r="E7" s="146"/>
      <c r="F7" s="145"/>
      <c r="G7" s="146"/>
      <c r="H7" s="179"/>
    </row>
    <row r="8" spans="2:15" s="147" customFormat="1" ht="18.75" x14ac:dyDescent="0.3">
      <c r="B8" s="202" t="s">
        <v>79</v>
      </c>
      <c r="C8" s="144">
        <f>ProjDate</f>
        <v>44561</v>
      </c>
      <c r="D8" s="148">
        <f ca="1">ProjBal</f>
        <v>19839.675411886383</v>
      </c>
      <c r="E8" s="146"/>
      <c r="F8" s="145"/>
      <c r="G8" s="146"/>
      <c r="H8" s="179"/>
    </row>
    <row r="9" spans="2:15" s="168" customFormat="1" ht="18.75" x14ac:dyDescent="0.3">
      <c r="B9" s="164"/>
      <c r="C9" s="165"/>
      <c r="D9" s="166"/>
      <c r="E9" s="167"/>
      <c r="F9" s="166"/>
      <c r="G9" s="167"/>
      <c r="H9" s="180"/>
    </row>
    <row r="11" spans="2:15" x14ac:dyDescent="0.25">
      <c r="C11" s="215" t="s">
        <v>92</v>
      </c>
      <c r="D11" s="216" t="s">
        <v>94</v>
      </c>
      <c r="E11" s="295" t="s">
        <v>92</v>
      </c>
      <c r="F11" s="296"/>
      <c r="G11" s="295" t="s">
        <v>86</v>
      </c>
      <c r="H11" s="296"/>
      <c r="I11" s="295" t="s">
        <v>95</v>
      </c>
      <c r="J11" s="296"/>
      <c r="K11" s="217" t="s">
        <v>89</v>
      </c>
    </row>
    <row r="12" spans="2:15" s="213" customFormat="1" x14ac:dyDescent="0.25">
      <c r="B12" s="212"/>
      <c r="C12" s="218" t="s">
        <v>80</v>
      </c>
      <c r="D12" s="219" t="s">
        <v>93</v>
      </c>
      <c r="E12" s="220" t="s">
        <v>81</v>
      </c>
      <c r="F12" s="221" t="s">
        <v>96</v>
      </c>
      <c r="G12" s="222" t="s">
        <v>81</v>
      </c>
      <c r="H12" s="221" t="s">
        <v>96</v>
      </c>
      <c r="I12" s="223" t="s">
        <v>88</v>
      </c>
      <c r="J12" s="221" t="s">
        <v>87</v>
      </c>
      <c r="K12" s="223" t="s">
        <v>90</v>
      </c>
      <c r="M12" s="214"/>
      <c r="N12" s="214"/>
    </row>
    <row r="13" spans="2:15" x14ac:dyDescent="0.25">
      <c r="C13" s="224">
        <v>44197</v>
      </c>
      <c r="D13" s="225">
        <v>6113.8099999999995</v>
      </c>
      <c r="E13" s="226" t="s">
        <v>91</v>
      </c>
      <c r="F13" s="227">
        <f t="shared" ref="F13" si="0">C13-$C$13</f>
        <v>0</v>
      </c>
      <c r="G13" s="228" t="s">
        <v>91</v>
      </c>
      <c r="H13" s="229">
        <f>$D13-initBal</f>
        <v>0</v>
      </c>
      <c r="I13" s="230">
        <f>initProj+H13-$F13*initRate</f>
        <v>19991.322789378275</v>
      </c>
      <c r="J13" s="229">
        <v>19991.322789378275</v>
      </c>
      <c r="K13" s="231"/>
      <c r="L13" s="211"/>
      <c r="M13" s="211"/>
      <c r="N13" s="211"/>
    </row>
    <row r="14" spans="2:15" x14ac:dyDescent="0.25">
      <c r="C14" s="232">
        <v>44228</v>
      </c>
      <c r="D14" s="233">
        <v>6803.5300000000007</v>
      </c>
      <c r="E14" s="234">
        <f ca="1">projLOG[[#This Row],[logDate]]-OFFSET(projLOG[[#This Row],[logDate]],-1,0)</f>
        <v>31</v>
      </c>
      <c r="F14" s="235">
        <f>projLOG[[#This Row],[logDate]]-initLogDate</f>
        <v>31</v>
      </c>
      <c r="G14" s="236">
        <f ca="1">projLOG[[#This Row],[availBal]]-OFFSET(projLOG[[#This Row],[availBal]],-1,0)</f>
        <v>689.72000000000116</v>
      </c>
      <c r="H14" s="237">
        <f>projLOG[[#This Row],[availBal]]-initBal</f>
        <v>689.72000000000116</v>
      </c>
      <c r="I14" s="238">
        <f>initProj+projLOG[[#This Row],[glCumul]]-projLOG[[#This Row],[logCumul]]*initRate</f>
        <v>19499.166700172984</v>
      </c>
      <c r="J14" s="237">
        <v>19839.675411886383</v>
      </c>
      <c r="K14" s="239"/>
      <c r="L14" s="211"/>
      <c r="M14" s="211"/>
      <c r="N14" s="211"/>
      <c r="O14" s="211"/>
    </row>
    <row r="16" spans="2:15" x14ac:dyDescent="0.25">
      <c r="G16" s="143"/>
    </row>
  </sheetData>
  <mergeCells count="3">
    <mergeCell ref="I11:J11"/>
    <mergeCell ref="G11:H11"/>
    <mergeCell ref="E11:F1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48A7A-7A33-4AA2-91D7-22516755DC7D}">
  <sheetPr codeName="Sheet8"/>
  <dimension ref="A1:D5"/>
  <sheetViews>
    <sheetView workbookViewId="0"/>
  </sheetViews>
  <sheetFormatPr defaultRowHeight="15" x14ac:dyDescent="0.25"/>
  <cols>
    <col min="1" max="1" width="5.85546875" bestFit="1" customWidth="1"/>
    <col min="2" max="2" width="43.140625" bestFit="1" customWidth="1"/>
    <col min="3" max="3" width="11.42578125" bestFit="1" customWidth="1"/>
    <col min="4" max="4" width="100.5703125" customWidth="1"/>
  </cols>
  <sheetData>
    <row r="1" spans="1:4" x14ac:dyDescent="0.25">
      <c r="A1" t="s">
        <v>116</v>
      </c>
      <c r="B1" t="s">
        <v>113</v>
      </c>
      <c r="C1" t="s">
        <v>114</v>
      </c>
      <c r="D1" t="s">
        <v>115</v>
      </c>
    </row>
    <row r="2" spans="1:4" x14ac:dyDescent="0.25">
      <c r="A2" s="267">
        <v>1</v>
      </c>
      <c r="B2" s="270" t="s">
        <v>83</v>
      </c>
      <c r="C2" s="272">
        <v>5</v>
      </c>
      <c r="D2" s="268" t="s">
        <v>117</v>
      </c>
    </row>
    <row r="3" spans="1:4" x14ac:dyDescent="0.25">
      <c r="A3" s="267">
        <v>2</v>
      </c>
      <c r="B3" s="271" t="s">
        <v>84</v>
      </c>
      <c r="C3" s="273">
        <v>1</v>
      </c>
      <c r="D3" s="269" t="s">
        <v>118</v>
      </c>
    </row>
    <row r="4" spans="1:4" ht="30" x14ac:dyDescent="0.25">
      <c r="A4" s="267">
        <v>3</v>
      </c>
      <c r="B4" s="270" t="s">
        <v>120</v>
      </c>
      <c r="C4" s="272">
        <v>3</v>
      </c>
      <c r="D4" s="268" t="s">
        <v>97</v>
      </c>
    </row>
    <row r="5" spans="1:4" x14ac:dyDescent="0.25">
      <c r="A5" s="267">
        <v>4</v>
      </c>
      <c r="B5" s="270" t="s">
        <v>85</v>
      </c>
      <c r="C5" s="272">
        <v>4</v>
      </c>
      <c r="D5" s="268" t="s">
        <v>119</v>
      </c>
    </row>
  </sheetData>
  <conditionalFormatting sqref="C2:C5">
    <cfRule type="iconSet" priority="1">
      <iconSet iconSet="3Flags">
        <cfvo type="percent" val="0"/>
        <cfvo type="percent" val="33"/>
        <cfvo type="percent" val="67"/>
      </iconSet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Current</vt:lpstr>
      <vt:lpstr>Projections</vt:lpstr>
      <vt:lpstr>Income</vt:lpstr>
      <vt:lpstr>Expenditure</vt:lpstr>
      <vt:lpstr>Adjustments</vt:lpstr>
      <vt:lpstr>Summary</vt:lpstr>
      <vt:lpstr>Projection Log</vt:lpstr>
      <vt:lpstr>TODO</vt:lpstr>
      <vt:lpstr>BalReq</vt:lpstr>
      <vt:lpstr>CalcDate</vt:lpstr>
      <vt:lpstr>CurBal</vt:lpstr>
      <vt:lpstr>currBal</vt:lpstr>
      <vt:lpstr>currProj</vt:lpstr>
      <vt:lpstr>initBal</vt:lpstr>
      <vt:lpstr>initLogDate</vt:lpstr>
      <vt:lpstr>initProj</vt:lpstr>
      <vt:lpstr>initRate</vt:lpstr>
      <vt:lpstr>ProjBal</vt:lpstr>
      <vt:lpstr>ProjDate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Niall Doherty</dc:creator>
  <cp:lastModifiedBy>Niall Doherty</cp:lastModifiedBy>
  <dcterms:created xsi:type="dcterms:W3CDTF">2018-09-16T18:17:30Z</dcterms:created>
  <dcterms:modified xsi:type="dcterms:W3CDTF">2021-02-01T14:28:03Z</dcterms:modified>
</cp:coreProperties>
</file>